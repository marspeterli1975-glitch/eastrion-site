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原E盘备份\NGC\parts\南京巨丰\2510订单\"/>
    </mc:Choice>
  </mc:AlternateContent>
  <xr:revisionPtr revIDLastSave="0" documentId="13_ncr:1_{D3C430CB-BCE5-46C0-A06B-7483C8AD8F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cking List" sheetId="1" r:id="rId1"/>
  </sheets>
  <definedNames>
    <definedName name="_xlnm.Print_Area" localSheetId="0">'Packing List'!$A$1:$AP$81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0" i="1" l="1"/>
  <c r="AL40" i="1"/>
  <c r="AL21" i="1"/>
  <c r="AO21" i="1"/>
  <c r="AL22" i="1"/>
  <c r="AO22" i="1"/>
  <c r="AL23" i="1"/>
  <c r="AO23" i="1"/>
  <c r="AL24" i="1"/>
  <c r="AO24" i="1"/>
  <c r="AL25" i="1"/>
  <c r="AO25" i="1"/>
  <c r="AL26" i="1"/>
  <c r="AO26" i="1"/>
  <c r="AL27" i="1"/>
  <c r="AO27" i="1"/>
  <c r="AL28" i="1"/>
  <c r="AO28" i="1"/>
  <c r="AL29" i="1"/>
  <c r="AO29" i="1"/>
  <c r="AL30" i="1"/>
  <c r="AO30" i="1"/>
  <c r="AL31" i="1"/>
  <c r="AO31" i="1"/>
  <c r="AL32" i="1"/>
  <c r="AO32" i="1"/>
  <c r="AL33" i="1"/>
  <c r="AO33" i="1"/>
  <c r="AL34" i="1"/>
  <c r="AO34" i="1"/>
  <c r="AL35" i="1"/>
  <c r="AO35" i="1"/>
  <c r="AL36" i="1"/>
  <c r="AO36" i="1"/>
  <c r="AL37" i="1"/>
  <c r="AO37" i="1"/>
  <c r="AL38" i="1"/>
  <c r="AO38" i="1"/>
  <c r="AL39" i="1"/>
  <c r="AO39" i="1"/>
  <c r="AL41" i="1"/>
  <c r="AO41" i="1"/>
  <c r="AL42" i="1"/>
  <c r="AO42" i="1"/>
  <c r="AL43" i="1"/>
  <c r="AO43" i="1"/>
  <c r="AL44" i="1"/>
  <c r="AO44" i="1"/>
  <c r="AL45" i="1"/>
  <c r="AO45" i="1"/>
  <c r="AL46" i="1"/>
  <c r="AO46" i="1"/>
  <c r="AL47" i="1"/>
  <c r="AO47" i="1"/>
  <c r="AL48" i="1"/>
  <c r="AO48" i="1"/>
  <c r="AL49" i="1"/>
  <c r="AO49" i="1"/>
  <c r="AL50" i="1"/>
  <c r="AO50" i="1"/>
  <c r="AL51" i="1"/>
  <c r="AO51" i="1"/>
  <c r="AL52" i="1"/>
  <c r="AO52" i="1"/>
  <c r="AL53" i="1"/>
  <c r="AO53" i="1"/>
  <c r="AL54" i="1"/>
  <c r="AO54" i="1"/>
  <c r="AL55" i="1"/>
  <c r="AO55" i="1"/>
  <c r="AL56" i="1"/>
  <c r="AO56" i="1"/>
  <c r="AL57" i="1"/>
  <c r="AO57" i="1"/>
  <c r="AL58" i="1"/>
  <c r="AO58" i="1"/>
  <c r="AL59" i="1"/>
  <c r="AO59" i="1"/>
  <c r="AL60" i="1"/>
  <c r="AO60" i="1"/>
  <c r="AL61" i="1"/>
  <c r="AO61" i="1"/>
  <c r="AL62" i="1"/>
  <c r="AO62" i="1"/>
  <c r="AL63" i="1"/>
  <c r="AO63" i="1"/>
  <c r="AL64" i="1"/>
  <c r="AO64" i="1"/>
  <c r="AL65" i="1"/>
  <c r="AO65" i="1"/>
  <c r="AL66" i="1"/>
  <c r="AO66" i="1"/>
  <c r="AL67" i="1"/>
  <c r="AO67" i="1"/>
  <c r="AL68" i="1"/>
  <c r="AO68" i="1"/>
</calcChain>
</file>

<file path=xl/sharedStrings.xml><?xml version="1.0" encoding="utf-8"?>
<sst xmlns="http://schemas.openxmlformats.org/spreadsheetml/2006/main" count="182" uniqueCount="77">
  <si>
    <t xml:space="preserve">
</t>
  </si>
  <si>
    <t>PACKING LIST</t>
  </si>
  <si>
    <t>Bill To:</t>
  </si>
  <si>
    <t>Ship To:</t>
  </si>
  <si>
    <t>Sl No.</t>
  </si>
  <si>
    <t>Part Description</t>
  </si>
  <si>
    <t>Quantity</t>
  </si>
  <si>
    <t>HSN Code</t>
  </si>
  <si>
    <t>Weight in KGS</t>
  </si>
  <si>
    <t>Per Case</t>
  </si>
  <si>
    <t>Total</t>
  </si>
  <si>
    <r>
      <rPr>
        <sz val="12"/>
        <rFont val="宋体"/>
        <family val="3"/>
        <charset val="134"/>
      </rPr>
      <t xml:space="preserve">Dimensions
LXWXH </t>
    </r>
    <r>
      <rPr>
        <sz val="10"/>
        <rFont val="宋体"/>
        <family val="3"/>
        <charset val="134"/>
      </rPr>
      <t>(In Cms)</t>
    </r>
  </si>
  <si>
    <t>Net</t>
  </si>
  <si>
    <t>Gross</t>
  </si>
  <si>
    <t>Country of Origin:</t>
  </si>
  <si>
    <t>PRC</t>
  </si>
  <si>
    <t>Destination:</t>
  </si>
  <si>
    <t>Mode of Dispatch:</t>
  </si>
  <si>
    <t>Authorized Signatory</t>
  </si>
  <si>
    <t>上海钵恩信息科技有限公司
Shanghai Eastrion Information Science &amp; Technology Co., Ltd</t>
    <phoneticPr fontId="18" type="noConversion"/>
  </si>
  <si>
    <r>
      <t xml:space="preserve">Address: 2F, No., 315 YuYuan RD, JingAn District, Shanghai </t>
    </r>
    <r>
      <rPr>
        <sz val="11"/>
        <rFont val="宋体"/>
        <family val="3"/>
        <charset val="134"/>
      </rPr>
      <t xml:space="preserve">
</t>
    </r>
    <phoneticPr fontId="18" type="noConversion"/>
  </si>
  <si>
    <t>INCOTERMS    :  CIF</t>
    <phoneticPr fontId="18" type="noConversion"/>
  </si>
  <si>
    <t>For Shanghai Eastrion Information Science &amp; Technology Co., Ltd</t>
    <phoneticPr fontId="18" type="noConversion"/>
  </si>
  <si>
    <t>Chennai</t>
    <phoneticPr fontId="18" type="noConversion"/>
  </si>
  <si>
    <t>sea</t>
    <phoneticPr fontId="18" type="noConversion"/>
  </si>
  <si>
    <t>pallet</t>
    <phoneticPr fontId="18" type="noConversion"/>
  </si>
  <si>
    <t>Per pallet</t>
    <phoneticPr fontId="18" type="noConversion"/>
  </si>
  <si>
    <t xml:space="preserve">NGC TRANSMISSION CHENNAI PVT LTD
Company ID : U29309TN2019FTC129259
Address: 1300, Survey No-136/16, Portia Road, Cherivi Village, Satyavedu Mandal, Sri City SEZ, Tirupati District, Andhra Pradesh, 517646
</t>
    <phoneticPr fontId="18" type="noConversion"/>
  </si>
  <si>
    <t>NGC TRANSMISSION CHENNAI PVT LTD
Company ID : U29309TN2019FTC129259
Address: 1300, Survey No-136/16, Portia Road, Cherivi Village, Satyavedu Mandal, Sri City SEZ, Tirupati District, Andhra Pradesh, 517646
Contact Person: Harikrishna P
Email: Hari.P@NGCtransmission.com
Mob (IND) : +91 8885364900/9150066529</t>
    <phoneticPr fontId="18" type="noConversion"/>
  </si>
  <si>
    <t>total</t>
    <phoneticPr fontId="18" type="noConversion"/>
  </si>
  <si>
    <t>Dimensions
L*W*H 
(Ms)</t>
    <phoneticPr fontId="18" type="noConversion"/>
  </si>
  <si>
    <t>sub total 小结</t>
    <phoneticPr fontId="18" type="noConversion"/>
  </si>
  <si>
    <t xml:space="preserve">Gross </t>
    <phoneticPr fontId="18" type="noConversion"/>
  </si>
  <si>
    <t>INVOICE DATE : January 3 2026</t>
    <phoneticPr fontId="18" type="noConversion"/>
  </si>
  <si>
    <t>深沟球轴承</t>
    <phoneticPr fontId="19" type="noConversion"/>
  </si>
  <si>
    <t>调心滚子轴承</t>
    <phoneticPr fontId="19" type="noConversion"/>
  </si>
  <si>
    <t>单列角接触球轴承</t>
    <phoneticPr fontId="19" type="noConversion"/>
  </si>
  <si>
    <t>单列圆柱滚子轴承</t>
    <phoneticPr fontId="19" type="noConversion"/>
  </si>
  <si>
    <t>双列圆柱滚子轴承 </t>
    <phoneticPr fontId="19" type="noConversion"/>
  </si>
  <si>
    <t>单向推力球轴承</t>
    <phoneticPr fontId="19" type="noConversion"/>
  </si>
  <si>
    <t>滚针轴承</t>
    <phoneticPr fontId="19" type="noConversion"/>
  </si>
  <si>
    <t>液压齿轮泵</t>
    <phoneticPr fontId="19" type="noConversion"/>
  </si>
  <si>
    <t>液压压力表</t>
    <phoneticPr fontId="19" type="noConversion"/>
  </si>
  <si>
    <t>流量发讯器</t>
    <phoneticPr fontId="19" type="noConversion"/>
  </si>
  <si>
    <t>电磁换向阀</t>
    <phoneticPr fontId="19" type="noConversion"/>
  </si>
  <si>
    <t>丝杠</t>
    <phoneticPr fontId="18" type="noConversion"/>
  </si>
  <si>
    <t>INVOICE NO   : 202601060030103A</t>
    <phoneticPr fontId="18" type="noConversion"/>
  </si>
  <si>
    <t>product code</t>
    <phoneticPr fontId="18" type="noConversion"/>
  </si>
  <si>
    <t>8458990000</t>
    <phoneticPr fontId="20" type="noConversion"/>
  </si>
  <si>
    <t>8482102000</t>
  </si>
  <si>
    <t>8482500090</t>
  </si>
  <si>
    <t>8482109000</t>
  </si>
  <si>
    <t>8482104090</t>
  </si>
  <si>
    <t>8413602290</t>
  </si>
  <si>
    <t>9026209090</t>
  </si>
  <si>
    <t>9026100000</t>
  </si>
  <si>
    <t>8481802190</t>
  </si>
  <si>
    <t>深沟球轴承</t>
  </si>
  <si>
    <r>
      <rPr>
        <sz val="10"/>
        <rFont val="Segoe UI Symbol"/>
        <family val="2"/>
      </rPr>
      <t>⌀</t>
    </r>
    <r>
      <rPr>
        <sz val="10"/>
        <rFont val="Arial"/>
        <family val="2"/>
      </rPr>
      <t>5*2</t>
    </r>
    <phoneticPr fontId="18" type="noConversion"/>
  </si>
  <si>
    <r>
      <rPr>
        <sz val="10"/>
        <rFont val="Segoe UI Symbol"/>
        <family val="2"/>
      </rPr>
      <t>⌀</t>
    </r>
    <r>
      <rPr>
        <sz val="10"/>
        <rFont val="Arial"/>
        <family val="2"/>
      </rPr>
      <t>5*2</t>
    </r>
    <r>
      <rPr>
        <sz val="11"/>
        <color theme="1"/>
        <rFont val="等线"/>
        <family val="2"/>
        <scheme val="minor"/>
      </rPr>
      <t/>
    </r>
  </si>
  <si>
    <r>
      <rPr>
        <sz val="10"/>
        <rFont val="Segoe UI Symbol"/>
        <family val="2"/>
      </rPr>
      <t>⌀3</t>
    </r>
    <r>
      <rPr>
        <sz val="10"/>
        <rFont val="Arial"/>
        <family val="2"/>
      </rPr>
      <t>*3</t>
    </r>
    <phoneticPr fontId="18" type="noConversion"/>
  </si>
  <si>
    <r>
      <rPr>
        <sz val="10"/>
        <rFont val="Segoe UI Symbol"/>
        <family val="2"/>
      </rPr>
      <t>⌀7</t>
    </r>
    <r>
      <rPr>
        <sz val="10"/>
        <rFont val="Arial"/>
        <family val="2"/>
      </rPr>
      <t>*3.5</t>
    </r>
    <phoneticPr fontId="18" type="noConversion"/>
  </si>
  <si>
    <r>
      <rPr>
        <sz val="10"/>
        <rFont val="Segoe UI Symbol"/>
        <family val="2"/>
      </rPr>
      <t>⌀7</t>
    </r>
    <r>
      <rPr>
        <sz val="10"/>
        <rFont val="Arial"/>
        <family val="2"/>
      </rPr>
      <t>*4</t>
    </r>
    <phoneticPr fontId="18" type="noConversion"/>
  </si>
  <si>
    <r>
      <rPr>
        <sz val="10"/>
        <rFont val="Segoe UI Symbol"/>
        <family val="2"/>
      </rPr>
      <t>⌀7</t>
    </r>
    <r>
      <rPr>
        <sz val="10"/>
        <rFont val="Arial"/>
        <family val="2"/>
      </rPr>
      <t>*3</t>
    </r>
    <phoneticPr fontId="18" type="noConversion"/>
  </si>
  <si>
    <r>
      <rPr>
        <sz val="10"/>
        <rFont val="Segoe UI Symbol"/>
        <family val="2"/>
      </rPr>
      <t>⌀</t>
    </r>
    <r>
      <rPr>
        <sz val="10"/>
        <rFont val="Arial"/>
        <family val="2"/>
      </rPr>
      <t>6*4</t>
    </r>
    <phoneticPr fontId="18" type="noConversion"/>
  </si>
  <si>
    <r>
      <rPr>
        <sz val="10"/>
        <rFont val="Segoe UI Symbol"/>
        <family val="2"/>
      </rPr>
      <t>⌀</t>
    </r>
    <r>
      <rPr>
        <sz val="10"/>
        <rFont val="Arial"/>
        <family val="2"/>
      </rPr>
      <t>6*2</t>
    </r>
    <phoneticPr fontId="18" type="noConversion"/>
  </si>
  <si>
    <r>
      <rPr>
        <sz val="10"/>
        <rFont val="Segoe UI Symbol"/>
        <family val="2"/>
      </rPr>
      <t>⌀</t>
    </r>
    <r>
      <rPr>
        <sz val="10"/>
        <rFont val="Arial"/>
        <family val="2"/>
      </rPr>
      <t>6*5</t>
    </r>
    <phoneticPr fontId="18" type="noConversion"/>
  </si>
  <si>
    <r>
      <rPr>
        <sz val="10"/>
        <rFont val="Segoe UI Symbol"/>
        <family val="2"/>
      </rPr>
      <t>⌀</t>
    </r>
    <r>
      <rPr>
        <sz val="10"/>
        <rFont val="Arial"/>
        <family val="2"/>
      </rPr>
      <t>6*3</t>
    </r>
    <phoneticPr fontId="18" type="noConversion"/>
  </si>
  <si>
    <r>
      <rPr>
        <sz val="10"/>
        <rFont val="Segoe UI Symbol"/>
        <family val="2"/>
      </rPr>
      <t>⌀6</t>
    </r>
    <r>
      <rPr>
        <sz val="10"/>
        <rFont val="Arial"/>
        <family val="2"/>
      </rPr>
      <t>*5</t>
    </r>
    <phoneticPr fontId="18" type="noConversion"/>
  </si>
  <si>
    <t>16*18*5</t>
    <phoneticPr fontId="18" type="noConversion"/>
  </si>
  <si>
    <t>23*8*8</t>
    <phoneticPr fontId="18" type="noConversion"/>
  </si>
  <si>
    <t>18*8*8</t>
    <phoneticPr fontId="18" type="noConversion"/>
  </si>
  <si>
    <t>25*12*2</t>
    <phoneticPr fontId="18" type="noConversion"/>
  </si>
  <si>
    <t>20*7*7</t>
    <phoneticPr fontId="18" type="noConversion"/>
  </si>
  <si>
    <r>
      <t>150*</t>
    </r>
    <r>
      <rPr>
        <sz val="10"/>
        <rFont val="Segoe UI Symbol"/>
        <family val="1"/>
      </rPr>
      <t>⌀</t>
    </r>
    <r>
      <rPr>
        <sz val="10"/>
        <rFont val="Arial"/>
        <family val="2"/>
      </rPr>
      <t>4.5</t>
    </r>
    <phoneticPr fontId="18" type="noConversion"/>
  </si>
  <si>
    <r>
      <t>165*</t>
    </r>
    <r>
      <rPr>
        <sz val="10"/>
        <rFont val="Segoe UI Symbol"/>
        <family val="1"/>
      </rPr>
      <t>⌀</t>
    </r>
    <r>
      <rPr>
        <sz val="10"/>
        <rFont val="Arial"/>
        <family val="2"/>
      </rPr>
      <t>5</t>
    </r>
    <phoneticPr fontId="18" type="noConversion"/>
  </si>
  <si>
    <r>
      <t>185*</t>
    </r>
    <r>
      <rPr>
        <sz val="10"/>
        <rFont val="Segoe UI Symbol"/>
        <family val="1"/>
      </rPr>
      <t>⌀</t>
    </r>
    <r>
      <rPr>
        <sz val="10"/>
        <rFont val="Arial"/>
        <family val="2"/>
      </rPr>
      <t>5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</si>
</sst>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[$$-409]* #,##0.00_);_([$$-409]* \(#,##0.00\);_([$$-409]* &quot;-&quot;??_);_(@_)"/>
    <numFmt numFmtId="177" formatCode="_(* #,##0.00_);_(* \(#,##0.00\);_(* &quot;-&quot;??_);_(@_)"/>
    <numFmt numFmtId="178" formatCode="0_);[Red]\(0\)"/>
    <numFmt numFmtId="179" formatCode="000000"/>
  </numFmts>
  <fonts count="23">
    <font>
      <sz val="10"/>
      <name val="Arial"/>
      <charset val="134"/>
    </font>
    <font>
      <sz val="11"/>
      <color theme="1"/>
      <name val="等线"/>
      <family val="2"/>
      <scheme val="minor"/>
    </font>
    <font>
      <sz val="8"/>
      <name val="Tahoma"/>
      <family val="2"/>
    </font>
    <font>
      <sz val="9"/>
      <name val="Times New Roman"/>
      <family val="1"/>
    </font>
    <font>
      <b/>
      <sz val="18"/>
      <name val="宋体"/>
      <family val="3"/>
      <charset val="134"/>
    </font>
    <font>
      <sz val="12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b/>
      <u/>
      <sz val="16"/>
      <name val="宋体"/>
      <family val="3"/>
      <charset val="134"/>
    </font>
    <font>
      <b/>
      <sz val="12"/>
      <name val="宋体"/>
      <family val="3"/>
      <charset val="134"/>
    </font>
    <font>
      <sz val="11"/>
      <color theme="2" tint="-0.89992980742820516"/>
      <name val="宋体"/>
      <family val="3"/>
      <charset val="134"/>
    </font>
    <font>
      <sz val="12"/>
      <color theme="2" tint="-0.89992980742820516"/>
      <name val="宋体"/>
      <family val="3"/>
      <charset val="134"/>
    </font>
    <font>
      <sz val="10"/>
      <name val="等线"/>
      <family val="3"/>
      <charset val="134"/>
      <scheme val="minor"/>
    </font>
    <font>
      <sz val="11"/>
      <name val="宋体"/>
      <family val="3"/>
      <charset val="134"/>
    </font>
    <font>
      <sz val="12"/>
      <name val="等线"/>
      <family val="3"/>
      <charset val="134"/>
      <scheme val="minor"/>
    </font>
    <font>
      <b/>
      <sz val="10"/>
      <name val="Arial"/>
      <family val="2"/>
    </font>
    <font>
      <sz val="11"/>
      <name val="等线"/>
      <family val="3"/>
      <charset val="134"/>
      <scheme val="minor"/>
    </font>
    <font>
      <sz val="10"/>
      <name val="Arial"/>
      <family val="2"/>
    </font>
    <font>
      <sz val="9"/>
      <name val="Arial"/>
      <family val="2"/>
    </font>
    <font>
      <sz val="9"/>
      <name val="等线"/>
      <family val="3"/>
      <charset val="134"/>
      <scheme val="minor"/>
    </font>
    <font>
      <sz val="9"/>
      <name val="Tahoma"/>
      <family val="2"/>
    </font>
    <font>
      <sz val="10"/>
      <name val="Segoe UI Symbol"/>
      <family val="2"/>
    </font>
    <font>
      <sz val="10"/>
      <name val="Segoe UI Symbol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 applyAlignment="0"/>
    <xf numFmtId="177" fontId="17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49" fontId="11" fillId="0" borderId="0" xfId="0" applyNumberFormat="1" applyFont="1" applyAlignment="1">
      <alignment horizontal="left" vertical="top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 wrapText="1"/>
    </xf>
    <xf numFmtId="0" fontId="5" fillId="0" borderId="0" xfId="0" applyFont="1"/>
    <xf numFmtId="0" fontId="2" fillId="0" borderId="7" xfId="0" applyFont="1" applyBorder="1" applyAlignment="1">
      <alignment horizontal="center" vertical="top" wrapText="1"/>
    </xf>
    <xf numFmtId="0" fontId="9" fillId="0" borderId="0" xfId="0" applyFont="1" applyAlignment="1"/>
    <xf numFmtId="0" fontId="15" fillId="0" borderId="0" xfId="0" applyFont="1"/>
    <xf numFmtId="0" fontId="13" fillId="0" borderId="0" xfId="0" applyFont="1"/>
    <xf numFmtId="0" fontId="5" fillId="0" borderId="0" xfId="0" applyFont="1" applyAlignment="1"/>
    <xf numFmtId="0" fontId="9" fillId="0" borderId="0" xfId="0" applyFont="1" applyAlignment="1">
      <alignment vertical="top"/>
    </xf>
    <xf numFmtId="0" fontId="5" fillId="0" borderId="0" xfId="0" applyFont="1" applyAlignment="1">
      <alignment vertical="top"/>
    </xf>
    <xf numFmtId="49" fontId="5" fillId="0" borderId="0" xfId="0" applyNumberFormat="1" applyFont="1" applyAlignment="1">
      <alignment vertical="top"/>
    </xf>
    <xf numFmtId="0" fontId="5" fillId="0" borderId="7" xfId="0" applyFont="1" applyBorder="1" applyAlignment="1">
      <alignment horizontal="center" vertical="top"/>
    </xf>
    <xf numFmtId="0" fontId="16" fillId="0" borderId="0" xfId="0" applyFont="1"/>
    <xf numFmtId="0" fontId="14" fillId="0" borderId="0" xfId="0" applyFont="1" applyAlignment="1"/>
    <xf numFmtId="49" fontId="5" fillId="0" borderId="0" xfId="0" applyNumberFormat="1" applyFont="1" applyAlignment="1">
      <alignment vertical="top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11" fillId="0" borderId="17" xfId="0" applyNumberFormat="1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176" fontId="7" fillId="0" borderId="28" xfId="1" applyNumberFormat="1" applyFont="1" applyBorder="1" applyAlignment="1">
      <alignment horizontal="center" vertical="center" wrapText="1"/>
    </xf>
    <xf numFmtId="0" fontId="5" fillId="0" borderId="28" xfId="1" applyNumberFormat="1" applyFont="1" applyBorder="1" applyAlignment="1">
      <alignment horizontal="center" vertical="center" wrapText="1"/>
    </xf>
    <xf numFmtId="0" fontId="5" fillId="0" borderId="31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7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33" xfId="0" applyFont="1" applyBorder="1" applyAlignment="1">
      <alignment horizontal="center" vertical="top"/>
    </xf>
    <xf numFmtId="0" fontId="5" fillId="0" borderId="34" xfId="0" applyFont="1" applyBorder="1" applyAlignment="1">
      <alignment horizontal="center" vertical="top"/>
    </xf>
    <xf numFmtId="178" fontId="0" fillId="0" borderId="35" xfId="0" applyNumberFormat="1" applyBorder="1" applyAlignment="1">
      <alignment horizontal="center" vertical="center"/>
    </xf>
    <xf numFmtId="179" fontId="17" fillId="0" borderId="36" xfId="0" applyNumberFormat="1" applyFont="1" applyBorder="1" applyAlignment="1">
      <alignment horizontal="left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2" xfId="1" applyNumberFormat="1" applyFont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top" wrapText="1"/>
    </xf>
    <xf numFmtId="49" fontId="10" fillId="0" borderId="0" xfId="0" applyNumberFormat="1" applyFont="1" applyAlignment="1">
      <alignment horizontal="left" vertical="top" wrapText="1"/>
    </xf>
    <xf numFmtId="0" fontId="5" fillId="0" borderId="19" xfId="0" applyFont="1" applyBorder="1" applyAlignment="1">
      <alignment horizontal="center" vertical="top"/>
    </xf>
    <xf numFmtId="0" fontId="5" fillId="0" borderId="20" xfId="0" applyFont="1" applyBorder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left" vertical="top" wrapText="1"/>
    </xf>
    <xf numFmtId="0" fontId="5" fillId="0" borderId="1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1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90"/>
  <sheetViews>
    <sheetView showGridLines="0" tabSelected="1" view="pageBreakPreview" topLeftCell="A3" zoomScale="60" zoomScaleNormal="100" workbookViewId="0">
      <selection activeCell="AL56" sqref="AL56"/>
    </sheetView>
  </sheetViews>
  <sheetFormatPr defaultColWidth="8.90625" defaultRowHeight="12.5"/>
  <cols>
    <col min="1" max="1" width="8.1796875" customWidth="1"/>
    <col min="2" max="2" width="6.90625" customWidth="1"/>
    <col min="3" max="3" width="0.90625" customWidth="1"/>
    <col min="4" max="4" width="1.453125" customWidth="1"/>
    <col min="5" max="5" width="2.54296875" customWidth="1"/>
    <col min="6" max="6" width="8.984375E-2" customWidth="1"/>
    <col min="7" max="7" width="3" customWidth="1"/>
    <col min="8" max="8" width="8.984375E-2" customWidth="1"/>
    <col min="9" max="9" width="4.08984375" customWidth="1"/>
    <col min="10" max="10" width="0.453125" hidden="1" customWidth="1"/>
    <col min="11" max="11" width="8.984375E-2" hidden="1" customWidth="1"/>
    <col min="12" max="12" width="0.36328125" hidden="1" customWidth="1"/>
    <col min="13" max="13" width="8.984375E-2" hidden="1" customWidth="1"/>
    <col min="14" max="14" width="8.54296875" customWidth="1"/>
    <col min="15" max="15" width="4.54296875" customWidth="1"/>
    <col min="16" max="16" width="5.54296875" customWidth="1"/>
    <col min="17" max="17" width="4.36328125" customWidth="1"/>
    <col min="18" max="18" width="4.90625" customWidth="1"/>
    <col min="19" max="19" width="0.36328125" hidden="1" customWidth="1"/>
    <col min="20" max="20" width="8.984375E-2" hidden="1" customWidth="1"/>
    <col min="21" max="21" width="1.90625" hidden="1" customWidth="1"/>
    <col min="22" max="22" width="3.08984375" hidden="1" customWidth="1"/>
    <col min="23" max="25" width="8.984375E-2" hidden="1" customWidth="1"/>
    <col min="26" max="26" width="5.08984375" customWidth="1"/>
    <col min="27" max="27" width="8" customWidth="1"/>
    <col min="28" max="28" width="2.453125" customWidth="1"/>
    <col min="29" max="29" width="0.54296875" customWidth="1"/>
    <col min="30" max="30" width="13.6328125" customWidth="1"/>
    <col min="31" max="32" width="8.984375E-2" hidden="1" customWidth="1"/>
    <col min="33" max="33" width="0.453125" hidden="1" customWidth="1"/>
    <col min="34" max="34" width="8.984375E-2" customWidth="1"/>
    <col min="35" max="35" width="11.36328125" customWidth="1"/>
    <col min="36" max="36" width="11.08984375" customWidth="1"/>
    <col min="37" max="37" width="0.36328125" customWidth="1"/>
    <col min="38" max="38" width="10.90625" customWidth="1"/>
    <col min="39" max="39" width="0.1796875" customWidth="1"/>
    <col min="40" max="40" width="8.984375E-2" customWidth="1"/>
    <col min="41" max="41" width="13.36328125" customWidth="1"/>
    <col min="42" max="42" width="20" customWidth="1"/>
  </cols>
  <sheetData>
    <row r="1" spans="1:42" ht="15.1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3.65" customHeight="1">
      <c r="A2" s="81"/>
      <c r="B2" s="81"/>
      <c r="C2" s="81"/>
      <c r="D2" s="81"/>
      <c r="E2" s="87" t="s">
        <v>19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52"/>
    </row>
    <row r="3" spans="1:42" ht="36.75" customHeight="1">
      <c r="A3" s="3"/>
      <c r="B3" s="3"/>
      <c r="C3" s="3"/>
      <c r="D3" s="3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52"/>
    </row>
    <row r="4" spans="1:42" ht="21" customHeight="1">
      <c r="A4" s="3"/>
      <c r="B4" s="4" t="s">
        <v>0</v>
      </c>
      <c r="C4" s="4"/>
      <c r="D4" s="4"/>
      <c r="E4" s="82" t="s">
        <v>20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49"/>
    </row>
    <row r="5" spans="1:42" ht="12" customHeight="1">
      <c r="A5" s="3"/>
      <c r="B5" s="3"/>
      <c r="C5" s="3"/>
      <c r="D5" s="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50"/>
    </row>
    <row r="6" spans="1:42" ht="27.9" customHeight="1">
      <c r="A6" s="3"/>
      <c r="B6" s="5"/>
      <c r="C6" s="5"/>
      <c r="D6" s="5"/>
      <c r="E6" s="84" t="s">
        <v>1</v>
      </c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51"/>
    </row>
    <row r="7" spans="1:42" ht="9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ht="15.15" customHeight="1">
      <c r="A8" s="85" t="s">
        <v>2</v>
      </c>
      <c r="B8" s="85"/>
      <c r="C8" s="85"/>
      <c r="D8" s="85"/>
      <c r="E8" s="85"/>
      <c r="F8" s="85"/>
      <c r="G8" s="3"/>
      <c r="H8" s="92" t="s">
        <v>27</v>
      </c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20"/>
      <c r="AD8" s="21"/>
      <c r="AE8" s="21"/>
      <c r="AF8" s="26"/>
      <c r="AG8" s="26"/>
      <c r="AH8" s="26"/>
      <c r="AI8" s="86" t="s">
        <v>46</v>
      </c>
      <c r="AJ8" s="86"/>
      <c r="AK8" s="86"/>
      <c r="AL8" s="86"/>
      <c r="AM8" s="86"/>
      <c r="AN8" s="86"/>
      <c r="AO8" s="86"/>
      <c r="AP8" s="47"/>
    </row>
    <row r="9" spans="1:42" ht="4.5" customHeight="1">
      <c r="A9" s="3"/>
      <c r="B9" s="3"/>
      <c r="C9" s="3"/>
      <c r="D9" s="3"/>
      <c r="E9" s="3"/>
      <c r="F9" s="3"/>
      <c r="G9" s="3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21"/>
      <c r="AD9" s="21"/>
      <c r="AE9" s="21"/>
      <c r="AF9" s="26"/>
      <c r="AG9" s="26"/>
      <c r="AH9" s="26"/>
      <c r="AI9" s="21"/>
      <c r="AJ9" s="26"/>
      <c r="AK9" s="26"/>
      <c r="AL9" s="26"/>
      <c r="AM9" s="3"/>
      <c r="AN9" s="3"/>
      <c r="AO9" s="3"/>
      <c r="AP9" s="3"/>
    </row>
    <row r="10" spans="1:42" ht="18.149999999999999" customHeight="1">
      <c r="A10" s="3"/>
      <c r="B10" s="3"/>
      <c r="C10" s="3"/>
      <c r="D10" s="3"/>
      <c r="E10" s="3"/>
      <c r="F10" s="3"/>
      <c r="G10" s="3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20"/>
      <c r="AD10" s="21"/>
      <c r="AE10" s="21"/>
      <c r="AF10" s="3"/>
      <c r="AG10" s="3"/>
      <c r="AH10" s="3"/>
      <c r="AI10" s="86" t="s">
        <v>33</v>
      </c>
      <c r="AJ10" s="86"/>
      <c r="AK10" s="86"/>
      <c r="AL10" s="86"/>
      <c r="AM10" s="86"/>
      <c r="AN10" s="86"/>
      <c r="AO10" s="86"/>
      <c r="AP10" s="47"/>
    </row>
    <row r="11" spans="1:42" ht="64.25" customHeight="1">
      <c r="A11" s="3"/>
      <c r="B11" s="3"/>
      <c r="C11" s="3"/>
      <c r="D11" s="3"/>
      <c r="E11" s="3"/>
      <c r="F11" s="3"/>
      <c r="G11" s="3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3"/>
      <c r="AO11" s="3"/>
      <c r="AP11" s="3"/>
    </row>
    <row r="12" spans="1:42" ht="12.9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3"/>
      <c r="AO12" s="3"/>
      <c r="AP12" s="3"/>
    </row>
    <row r="13" spans="1:42" ht="40.25" customHeight="1">
      <c r="A13" s="85" t="s">
        <v>3</v>
      </c>
      <c r="B13" s="85"/>
      <c r="C13" s="85"/>
      <c r="D13" s="85"/>
      <c r="E13" s="85"/>
      <c r="F13" s="85"/>
      <c r="G13" s="3"/>
      <c r="H13" s="93" t="s">
        <v>28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20"/>
      <c r="AD13" s="20"/>
      <c r="AE13" s="20"/>
      <c r="AF13" s="20"/>
      <c r="AG13" s="20"/>
      <c r="AH13" s="20"/>
      <c r="AI13" s="91"/>
      <c r="AJ13" s="91"/>
      <c r="AK13" s="91"/>
      <c r="AL13" s="91"/>
      <c r="AM13" s="91"/>
      <c r="AN13" s="91"/>
      <c r="AO13" s="91"/>
      <c r="AP13" s="48"/>
    </row>
    <row r="14" spans="1:42" ht="2.25" customHeight="1">
      <c r="A14" s="3"/>
      <c r="B14" s="3"/>
      <c r="C14" s="3"/>
      <c r="D14" s="3"/>
      <c r="E14" s="3"/>
      <c r="F14" s="3"/>
      <c r="G14" s="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3"/>
      <c r="AD14" s="21"/>
      <c r="AE14" s="21"/>
      <c r="AF14" s="21"/>
      <c r="AG14" s="21"/>
      <c r="AH14" s="21"/>
      <c r="AI14" s="3"/>
      <c r="AJ14" s="21"/>
      <c r="AK14" s="21"/>
      <c r="AL14" s="21"/>
      <c r="AM14" s="21"/>
      <c r="AN14" s="3"/>
      <c r="AO14" s="3"/>
      <c r="AP14" s="3"/>
    </row>
    <row r="15" spans="1:42" ht="19.5" customHeight="1">
      <c r="A15" s="3"/>
      <c r="B15" s="3"/>
      <c r="C15" s="3"/>
      <c r="D15" s="3"/>
      <c r="E15" s="3"/>
      <c r="F15" s="3"/>
      <c r="G15" s="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20"/>
      <c r="AD15" s="20"/>
      <c r="AE15" s="20"/>
      <c r="AF15" s="20"/>
      <c r="AG15" s="20"/>
      <c r="AH15" s="20"/>
      <c r="AI15" s="86"/>
      <c r="AJ15" s="86"/>
      <c r="AK15" s="86"/>
      <c r="AL15" s="86"/>
      <c r="AM15" s="86"/>
      <c r="AN15" s="86"/>
      <c r="AO15" s="86"/>
      <c r="AP15" s="47"/>
    </row>
    <row r="16" spans="1:42" ht="15">
      <c r="A16" s="3"/>
      <c r="B16" s="3"/>
      <c r="C16" s="3"/>
      <c r="D16" s="3"/>
      <c r="E16" s="3"/>
      <c r="F16" s="3"/>
      <c r="G16" s="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20"/>
      <c r="AD16" s="21"/>
      <c r="AE16" s="21"/>
      <c r="AF16" s="21"/>
      <c r="AG16" s="21"/>
      <c r="AH16" s="21"/>
      <c r="AI16" s="86" t="s">
        <v>21</v>
      </c>
      <c r="AJ16" s="86"/>
      <c r="AK16" s="86"/>
      <c r="AL16" s="86"/>
      <c r="AM16" s="86"/>
      <c r="AN16" s="86"/>
      <c r="AO16" s="86"/>
      <c r="AP16" s="47"/>
    </row>
    <row r="17" spans="1:42" ht="19.5" customHeight="1" thickBot="1">
      <c r="A17" s="85"/>
      <c r="B17" s="85"/>
      <c r="C17" s="85"/>
      <c r="D17" s="85"/>
      <c r="E17" s="85"/>
      <c r="F17" s="85"/>
      <c r="G17" s="85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6"/>
      <c r="AC17" s="20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</row>
    <row r="18" spans="1:42" ht="18.649999999999999" customHeight="1">
      <c r="A18" s="113" t="s">
        <v>4</v>
      </c>
      <c r="B18" s="101" t="s">
        <v>5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3"/>
      <c r="M18" s="35"/>
      <c r="N18" s="116" t="s">
        <v>25</v>
      </c>
      <c r="O18" s="101" t="s">
        <v>6</v>
      </c>
      <c r="P18" s="102"/>
      <c r="Q18" s="102"/>
      <c r="R18" s="103"/>
      <c r="S18" s="35"/>
      <c r="T18" s="35"/>
      <c r="U18" s="35"/>
      <c r="V18" s="35"/>
      <c r="W18" s="119" t="s">
        <v>7</v>
      </c>
      <c r="X18" s="120"/>
      <c r="Y18" s="120"/>
      <c r="Z18" s="120"/>
      <c r="AA18" s="121"/>
      <c r="AB18" s="101" t="s">
        <v>30</v>
      </c>
      <c r="AC18" s="102"/>
      <c r="AD18" s="103"/>
      <c r="AE18" s="36"/>
      <c r="AF18" s="36"/>
      <c r="AG18" s="36"/>
      <c r="AH18" s="36"/>
      <c r="AI18" s="94" t="s">
        <v>8</v>
      </c>
      <c r="AJ18" s="95"/>
      <c r="AK18" s="95"/>
      <c r="AL18" s="95"/>
      <c r="AM18" s="95"/>
      <c r="AN18" s="95"/>
      <c r="AO18" s="96"/>
      <c r="AP18" s="67"/>
    </row>
    <row r="19" spans="1:42" ht="16.5" customHeight="1">
      <c r="A19" s="114"/>
      <c r="B19" s="104"/>
      <c r="C19" s="105"/>
      <c r="D19" s="105"/>
      <c r="E19" s="105"/>
      <c r="F19" s="105"/>
      <c r="G19" s="105"/>
      <c r="H19" s="105"/>
      <c r="I19" s="105"/>
      <c r="J19" s="105"/>
      <c r="K19" s="105"/>
      <c r="L19" s="106"/>
      <c r="M19" s="15"/>
      <c r="N19" s="117"/>
      <c r="O19" s="107"/>
      <c r="P19" s="108"/>
      <c r="Q19" s="108"/>
      <c r="R19" s="109"/>
      <c r="S19" s="15"/>
      <c r="T19" s="15"/>
      <c r="U19" s="15"/>
      <c r="V19" s="15"/>
      <c r="W19" s="122"/>
      <c r="X19" s="123"/>
      <c r="Y19" s="123"/>
      <c r="Z19" s="123"/>
      <c r="AA19" s="124"/>
      <c r="AB19" s="104"/>
      <c r="AC19" s="105"/>
      <c r="AD19" s="106"/>
      <c r="AE19" s="23"/>
      <c r="AF19" s="23"/>
      <c r="AG19" s="23"/>
      <c r="AH19" s="23"/>
      <c r="AI19" s="97" t="s">
        <v>9</v>
      </c>
      <c r="AJ19" s="98"/>
      <c r="AK19" s="23"/>
      <c r="AL19" s="97" t="s">
        <v>10</v>
      </c>
      <c r="AM19" s="99"/>
      <c r="AN19" s="99"/>
      <c r="AO19" s="100"/>
      <c r="AP19" s="68"/>
    </row>
    <row r="20" spans="1:42" s="1" customFormat="1" ht="31.5" customHeight="1">
      <c r="A20" s="115"/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9"/>
      <c r="M20" s="7" t="s">
        <v>5</v>
      </c>
      <c r="N20" s="118"/>
      <c r="O20" s="128" t="s">
        <v>26</v>
      </c>
      <c r="P20" s="129"/>
      <c r="Q20" s="128" t="s">
        <v>10</v>
      </c>
      <c r="R20" s="129"/>
      <c r="S20" s="7"/>
      <c r="T20" s="7"/>
      <c r="U20" s="7"/>
      <c r="V20" s="7"/>
      <c r="W20" s="125"/>
      <c r="X20" s="126"/>
      <c r="Y20" s="126"/>
      <c r="Z20" s="126"/>
      <c r="AA20" s="127"/>
      <c r="AB20" s="107"/>
      <c r="AC20" s="108"/>
      <c r="AD20" s="109"/>
      <c r="AE20" s="110"/>
      <c r="AF20" s="111"/>
      <c r="AG20" s="7" t="s">
        <v>11</v>
      </c>
      <c r="AH20" s="7"/>
      <c r="AI20" s="33" t="s">
        <v>12</v>
      </c>
      <c r="AJ20" s="7" t="s">
        <v>13</v>
      </c>
      <c r="AK20" s="7"/>
      <c r="AL20" s="7" t="s">
        <v>12</v>
      </c>
      <c r="AM20" s="7"/>
      <c r="AN20" s="7"/>
      <c r="AO20" s="29" t="s">
        <v>32</v>
      </c>
      <c r="AP20" s="37" t="s">
        <v>47</v>
      </c>
    </row>
    <row r="21" spans="1:42" s="1" customFormat="1" ht="15.65" customHeight="1">
      <c r="A21" s="38">
        <v>1</v>
      </c>
      <c r="B21" s="130" t="s">
        <v>34</v>
      </c>
      <c r="C21" s="130"/>
      <c r="D21" s="130"/>
      <c r="E21" s="130"/>
      <c r="F21" s="130"/>
      <c r="G21" s="130"/>
      <c r="H21" s="130"/>
      <c r="I21" s="130"/>
      <c r="J21" s="7"/>
      <c r="K21" s="7"/>
      <c r="L21" s="7"/>
      <c r="M21" s="7"/>
      <c r="N21" s="133">
        <v>1</v>
      </c>
      <c r="O21" s="80">
        <v>2</v>
      </c>
      <c r="P21" s="80"/>
      <c r="Q21" s="90">
        <v>93</v>
      </c>
      <c r="R21" s="90"/>
      <c r="S21" s="7"/>
      <c r="T21" s="7"/>
      <c r="U21" s="7"/>
      <c r="V21" s="7"/>
      <c r="W21" s="77" t="s">
        <v>49</v>
      </c>
      <c r="X21" s="78"/>
      <c r="Y21" s="78"/>
      <c r="Z21" s="78"/>
      <c r="AA21" s="79"/>
      <c r="AB21" s="76" t="s">
        <v>58</v>
      </c>
      <c r="AC21" s="76"/>
      <c r="AD21" s="76"/>
      <c r="AE21" s="63"/>
      <c r="AF21" s="63"/>
      <c r="AG21" s="63"/>
      <c r="AH21" s="63"/>
      <c r="AI21" s="63">
        <v>1.3</v>
      </c>
      <c r="AJ21" s="44">
        <v>0.22</v>
      </c>
      <c r="AK21" s="7"/>
      <c r="AL21" s="66">
        <f t="shared" ref="AL21:AL40" si="0">SUM(AI21)*O21</f>
        <v>2.6</v>
      </c>
      <c r="AM21" s="7"/>
      <c r="AN21" s="7"/>
      <c r="AO21" s="66">
        <f t="shared" ref="AO21:AO40" si="1">SUM(AI21+AJ21)*O21</f>
        <v>3.04</v>
      </c>
      <c r="AP21" s="69">
        <v>220200014002</v>
      </c>
    </row>
    <row r="22" spans="1:42" s="1" customFormat="1" ht="16.25" customHeight="1">
      <c r="A22" s="38">
        <v>2</v>
      </c>
      <c r="B22" s="89" t="s">
        <v>34</v>
      </c>
      <c r="C22" s="89" t="s">
        <v>34</v>
      </c>
      <c r="D22" s="89" t="s">
        <v>34</v>
      </c>
      <c r="E22" s="89" t="s">
        <v>34</v>
      </c>
      <c r="F22" s="89" t="s">
        <v>34</v>
      </c>
      <c r="G22" s="89" t="s">
        <v>34</v>
      </c>
      <c r="H22" s="89" t="s">
        <v>34</v>
      </c>
      <c r="I22" s="89" t="s">
        <v>34</v>
      </c>
      <c r="J22" s="7"/>
      <c r="K22" s="7"/>
      <c r="L22" s="7"/>
      <c r="M22" s="7"/>
      <c r="N22" s="117"/>
      <c r="O22" s="80">
        <v>2</v>
      </c>
      <c r="P22" s="80"/>
      <c r="Q22" s="90"/>
      <c r="R22" s="90"/>
      <c r="S22" s="7"/>
      <c r="T22" s="7"/>
      <c r="U22" s="7"/>
      <c r="V22" s="7"/>
      <c r="W22" s="77" t="s">
        <v>49</v>
      </c>
      <c r="X22" s="78"/>
      <c r="Y22" s="78"/>
      <c r="Z22" s="78"/>
      <c r="AA22" s="79"/>
      <c r="AB22" s="76" t="s">
        <v>58</v>
      </c>
      <c r="AC22" s="76"/>
      <c r="AD22" s="76"/>
      <c r="AE22" s="63"/>
      <c r="AF22" s="63"/>
      <c r="AG22" s="63"/>
      <c r="AH22" s="63"/>
      <c r="AI22" s="63">
        <v>1.3</v>
      </c>
      <c r="AJ22" s="44">
        <v>0.22</v>
      </c>
      <c r="AK22" s="7"/>
      <c r="AL22" s="66">
        <f t="shared" si="0"/>
        <v>2.6</v>
      </c>
      <c r="AM22" s="7"/>
      <c r="AN22" s="7"/>
      <c r="AO22" s="66">
        <f t="shared" si="1"/>
        <v>3.04</v>
      </c>
      <c r="AP22" s="69">
        <v>220200014000</v>
      </c>
    </row>
    <row r="23" spans="1:42" s="1" customFormat="1" ht="16.25" customHeight="1">
      <c r="A23" s="38">
        <v>3</v>
      </c>
      <c r="B23" s="89" t="s">
        <v>34</v>
      </c>
      <c r="C23" s="89"/>
      <c r="D23" s="89"/>
      <c r="E23" s="89"/>
      <c r="F23" s="89"/>
      <c r="G23" s="89"/>
      <c r="H23" s="89"/>
      <c r="I23" s="89"/>
      <c r="J23" s="7"/>
      <c r="K23" s="7"/>
      <c r="L23" s="7"/>
      <c r="M23" s="7"/>
      <c r="N23" s="117"/>
      <c r="O23" s="80">
        <v>2</v>
      </c>
      <c r="P23" s="80"/>
      <c r="Q23" s="90"/>
      <c r="R23" s="90"/>
      <c r="S23" s="7"/>
      <c r="T23" s="7"/>
      <c r="U23" s="7"/>
      <c r="V23" s="7"/>
      <c r="W23" s="77" t="s">
        <v>49</v>
      </c>
      <c r="X23" s="78"/>
      <c r="Y23" s="78"/>
      <c r="Z23" s="78"/>
      <c r="AA23" s="79"/>
      <c r="AB23" s="76" t="s">
        <v>59</v>
      </c>
      <c r="AC23" s="76"/>
      <c r="AD23" s="76"/>
      <c r="AE23" s="63"/>
      <c r="AF23" s="63"/>
      <c r="AG23" s="63"/>
      <c r="AH23" s="63"/>
      <c r="AI23" s="63">
        <v>1.3</v>
      </c>
      <c r="AJ23" s="44">
        <v>0.22</v>
      </c>
      <c r="AK23" s="7"/>
      <c r="AL23" s="66">
        <f t="shared" si="0"/>
        <v>2.6</v>
      </c>
      <c r="AM23" s="7"/>
      <c r="AN23" s="7"/>
      <c r="AO23" s="66">
        <f t="shared" si="1"/>
        <v>3.04</v>
      </c>
      <c r="AP23" s="69">
        <v>220200013999</v>
      </c>
    </row>
    <row r="24" spans="1:42" s="1" customFormat="1" ht="16.25" customHeight="1">
      <c r="A24" s="38">
        <v>4</v>
      </c>
      <c r="B24" s="89" t="s">
        <v>34</v>
      </c>
      <c r="C24" s="89"/>
      <c r="D24" s="89"/>
      <c r="E24" s="89"/>
      <c r="F24" s="89"/>
      <c r="G24" s="89"/>
      <c r="H24" s="89"/>
      <c r="I24" s="89"/>
      <c r="J24" s="7"/>
      <c r="K24" s="7"/>
      <c r="L24" s="7"/>
      <c r="M24" s="7"/>
      <c r="N24" s="117"/>
      <c r="O24" s="80">
        <v>2</v>
      </c>
      <c r="P24" s="80"/>
      <c r="Q24" s="90"/>
      <c r="R24" s="90"/>
      <c r="S24" s="7"/>
      <c r="T24" s="7"/>
      <c r="U24" s="7"/>
      <c r="V24" s="7"/>
      <c r="W24" s="77" t="s">
        <v>49</v>
      </c>
      <c r="X24" s="78"/>
      <c r="Y24" s="78"/>
      <c r="Z24" s="78"/>
      <c r="AA24" s="79"/>
      <c r="AB24" s="76" t="s">
        <v>59</v>
      </c>
      <c r="AC24" s="76"/>
      <c r="AD24" s="76"/>
      <c r="AE24" s="63"/>
      <c r="AF24" s="63"/>
      <c r="AG24" s="63"/>
      <c r="AH24" s="63"/>
      <c r="AI24" s="63">
        <v>1.3</v>
      </c>
      <c r="AJ24" s="44">
        <v>0.22</v>
      </c>
      <c r="AK24" s="7"/>
      <c r="AL24" s="66">
        <f t="shared" si="0"/>
        <v>2.6</v>
      </c>
      <c r="AM24" s="7"/>
      <c r="AN24" s="7"/>
      <c r="AO24" s="66">
        <f t="shared" si="1"/>
        <v>3.04</v>
      </c>
      <c r="AP24" s="69">
        <v>220200013995</v>
      </c>
    </row>
    <row r="25" spans="1:42" s="1" customFormat="1" ht="16.25" customHeight="1">
      <c r="A25" s="38">
        <v>5</v>
      </c>
      <c r="B25" s="89" t="s">
        <v>34</v>
      </c>
      <c r="C25" s="89"/>
      <c r="D25" s="89"/>
      <c r="E25" s="89"/>
      <c r="F25" s="89"/>
      <c r="G25" s="89"/>
      <c r="H25" s="89"/>
      <c r="I25" s="89"/>
      <c r="J25" s="7"/>
      <c r="K25" s="7"/>
      <c r="L25" s="7"/>
      <c r="M25" s="7"/>
      <c r="N25" s="117"/>
      <c r="O25" s="80">
        <v>2</v>
      </c>
      <c r="P25" s="80"/>
      <c r="Q25" s="90"/>
      <c r="R25" s="90"/>
      <c r="S25" s="7"/>
      <c r="T25" s="7"/>
      <c r="U25" s="7"/>
      <c r="V25" s="7"/>
      <c r="W25" s="77" t="s">
        <v>49</v>
      </c>
      <c r="X25" s="78"/>
      <c r="Y25" s="78"/>
      <c r="Z25" s="78"/>
      <c r="AA25" s="79"/>
      <c r="AB25" s="76" t="s">
        <v>59</v>
      </c>
      <c r="AC25" s="76"/>
      <c r="AD25" s="76"/>
      <c r="AE25" s="63"/>
      <c r="AF25" s="63"/>
      <c r="AG25" s="63"/>
      <c r="AH25" s="63"/>
      <c r="AI25" s="63">
        <v>1.3</v>
      </c>
      <c r="AJ25" s="44">
        <v>0.22</v>
      </c>
      <c r="AK25" s="7"/>
      <c r="AL25" s="66">
        <f t="shared" si="0"/>
        <v>2.6</v>
      </c>
      <c r="AM25" s="7"/>
      <c r="AN25" s="7"/>
      <c r="AO25" s="66">
        <f t="shared" si="1"/>
        <v>3.04</v>
      </c>
      <c r="AP25" s="69">
        <v>220200013997</v>
      </c>
    </row>
    <row r="26" spans="1:42" s="1" customFormat="1" ht="16.25" customHeight="1">
      <c r="A26" s="38">
        <v>6</v>
      </c>
      <c r="B26" s="89" t="s">
        <v>35</v>
      </c>
      <c r="C26" s="89"/>
      <c r="D26" s="89"/>
      <c r="E26" s="89"/>
      <c r="F26" s="89"/>
      <c r="G26" s="89"/>
      <c r="H26" s="89"/>
      <c r="I26" s="89"/>
      <c r="J26" s="7"/>
      <c r="K26" s="7"/>
      <c r="L26" s="7"/>
      <c r="M26" s="7"/>
      <c r="N26" s="117"/>
      <c r="O26" s="80">
        <v>2</v>
      </c>
      <c r="P26" s="80"/>
      <c r="Q26" s="90"/>
      <c r="R26" s="90"/>
      <c r="S26" s="7"/>
      <c r="T26" s="7"/>
      <c r="U26" s="7"/>
      <c r="V26" s="7"/>
      <c r="W26" s="77" t="s">
        <v>50</v>
      </c>
      <c r="X26" s="78"/>
      <c r="Y26" s="78"/>
      <c r="Z26" s="78"/>
      <c r="AA26" s="79"/>
      <c r="AB26" s="76" t="s">
        <v>60</v>
      </c>
      <c r="AC26" s="76"/>
      <c r="AD26" s="76"/>
      <c r="AE26" s="63"/>
      <c r="AF26" s="63"/>
      <c r="AG26" s="63"/>
      <c r="AH26" s="63"/>
      <c r="AI26" s="63">
        <v>1.2</v>
      </c>
      <c r="AJ26" s="44">
        <v>0.21</v>
      </c>
      <c r="AK26" s="7"/>
      <c r="AL26" s="66">
        <f t="shared" si="0"/>
        <v>2.4</v>
      </c>
      <c r="AM26" s="7"/>
      <c r="AN26" s="7"/>
      <c r="AO26" s="66">
        <f t="shared" si="1"/>
        <v>2.82</v>
      </c>
      <c r="AP26" s="69">
        <v>220200013996</v>
      </c>
    </row>
    <row r="27" spans="1:42" s="1" customFormat="1" ht="16.25" customHeight="1">
      <c r="A27" s="38">
        <v>7</v>
      </c>
      <c r="B27" s="89" t="s">
        <v>34</v>
      </c>
      <c r="C27" s="89"/>
      <c r="D27" s="89"/>
      <c r="E27" s="89"/>
      <c r="F27" s="89"/>
      <c r="G27" s="89"/>
      <c r="H27" s="89"/>
      <c r="I27" s="89"/>
      <c r="J27" s="7"/>
      <c r="K27" s="7"/>
      <c r="L27" s="7"/>
      <c r="M27" s="7"/>
      <c r="N27" s="117"/>
      <c r="O27" s="80">
        <v>2</v>
      </c>
      <c r="P27" s="80"/>
      <c r="Q27" s="90"/>
      <c r="R27" s="90"/>
      <c r="S27" s="7"/>
      <c r="T27" s="7"/>
      <c r="U27" s="7"/>
      <c r="V27" s="7"/>
      <c r="W27" s="77">
        <v>8482101090</v>
      </c>
      <c r="X27" s="78"/>
      <c r="Y27" s="78"/>
      <c r="Z27" s="78"/>
      <c r="AA27" s="79"/>
      <c r="AB27" s="76" t="s">
        <v>59</v>
      </c>
      <c r="AC27" s="76"/>
      <c r="AD27" s="76"/>
      <c r="AE27" s="63"/>
      <c r="AF27" s="63"/>
      <c r="AG27" s="63"/>
      <c r="AH27" s="63"/>
      <c r="AI27" s="63">
        <v>1.2</v>
      </c>
      <c r="AJ27" s="44">
        <v>0.21</v>
      </c>
      <c r="AK27" s="7"/>
      <c r="AL27" s="66">
        <f t="shared" si="0"/>
        <v>2.4</v>
      </c>
      <c r="AM27" s="7"/>
      <c r="AN27" s="7"/>
      <c r="AO27" s="66">
        <f t="shared" si="1"/>
        <v>2.82</v>
      </c>
      <c r="AP27" s="69">
        <v>220200009945</v>
      </c>
    </row>
    <row r="28" spans="1:42" s="1" customFormat="1" ht="16.25" customHeight="1">
      <c r="A28" s="38">
        <v>8</v>
      </c>
      <c r="B28" s="89" t="s">
        <v>36</v>
      </c>
      <c r="C28" s="89"/>
      <c r="D28" s="89"/>
      <c r="E28" s="89"/>
      <c r="F28" s="89"/>
      <c r="G28" s="89"/>
      <c r="H28" s="89"/>
      <c r="I28" s="89"/>
      <c r="J28" s="7"/>
      <c r="K28" s="7"/>
      <c r="L28" s="7"/>
      <c r="M28" s="7"/>
      <c r="N28" s="117"/>
      <c r="O28" s="80">
        <v>2</v>
      </c>
      <c r="P28" s="80"/>
      <c r="Q28" s="90"/>
      <c r="R28" s="90"/>
      <c r="S28" s="7"/>
      <c r="T28" s="7"/>
      <c r="U28" s="7"/>
      <c r="V28" s="7"/>
      <c r="W28" s="77" t="s">
        <v>51</v>
      </c>
      <c r="X28" s="78"/>
      <c r="Y28" s="78"/>
      <c r="Z28" s="78"/>
      <c r="AA28" s="79"/>
      <c r="AB28" s="76" t="s">
        <v>61</v>
      </c>
      <c r="AC28" s="76"/>
      <c r="AD28" s="76"/>
      <c r="AE28" s="63"/>
      <c r="AF28" s="63"/>
      <c r="AG28" s="63"/>
      <c r="AH28" s="63"/>
      <c r="AI28" s="63">
        <v>2.8</v>
      </c>
      <c r="AJ28" s="44">
        <v>0.48</v>
      </c>
      <c r="AK28" s="7"/>
      <c r="AL28" s="66">
        <f t="shared" si="0"/>
        <v>5.6</v>
      </c>
      <c r="AM28" s="7"/>
      <c r="AN28" s="7"/>
      <c r="AO28" s="66">
        <f t="shared" si="1"/>
        <v>6.56</v>
      </c>
      <c r="AP28" s="69">
        <v>220200013994</v>
      </c>
    </row>
    <row r="29" spans="1:42" s="1" customFormat="1" ht="16.25" customHeight="1">
      <c r="A29" s="38">
        <v>9</v>
      </c>
      <c r="B29" s="89" t="s">
        <v>36</v>
      </c>
      <c r="C29" s="89"/>
      <c r="D29" s="89"/>
      <c r="E29" s="89"/>
      <c r="F29" s="89"/>
      <c r="G29" s="89"/>
      <c r="H29" s="89"/>
      <c r="I29" s="89"/>
      <c r="J29" s="7"/>
      <c r="K29" s="7"/>
      <c r="L29" s="7"/>
      <c r="M29" s="7"/>
      <c r="N29" s="117"/>
      <c r="O29" s="80">
        <v>2</v>
      </c>
      <c r="P29" s="80"/>
      <c r="Q29" s="90"/>
      <c r="R29" s="90"/>
      <c r="S29" s="7"/>
      <c r="T29" s="7"/>
      <c r="U29" s="7"/>
      <c r="V29" s="7"/>
      <c r="W29" s="77">
        <v>8482103090</v>
      </c>
      <c r="X29" s="78"/>
      <c r="Y29" s="78"/>
      <c r="Z29" s="78"/>
      <c r="AA29" s="79"/>
      <c r="AB29" s="76" t="s">
        <v>61</v>
      </c>
      <c r="AC29" s="76"/>
      <c r="AD29" s="76"/>
      <c r="AE29" s="63"/>
      <c r="AF29" s="63"/>
      <c r="AG29" s="63"/>
      <c r="AH29" s="63"/>
      <c r="AI29" s="63">
        <v>2.8</v>
      </c>
      <c r="AJ29" s="44">
        <v>0.48</v>
      </c>
      <c r="AK29" s="7"/>
      <c r="AL29" s="66">
        <f t="shared" si="0"/>
        <v>5.6</v>
      </c>
      <c r="AM29" s="7"/>
      <c r="AN29" s="7"/>
      <c r="AO29" s="66">
        <f t="shared" si="1"/>
        <v>6.56</v>
      </c>
      <c r="AP29" s="69">
        <v>220200014001</v>
      </c>
    </row>
    <row r="30" spans="1:42" s="1" customFormat="1" ht="16.25" customHeight="1">
      <c r="A30" s="38">
        <v>10</v>
      </c>
      <c r="B30" s="89" t="s">
        <v>37</v>
      </c>
      <c r="C30" s="89"/>
      <c r="D30" s="89"/>
      <c r="E30" s="89"/>
      <c r="F30" s="89"/>
      <c r="G30" s="89"/>
      <c r="H30" s="89"/>
      <c r="I30" s="89"/>
      <c r="J30" s="7"/>
      <c r="K30" s="7"/>
      <c r="L30" s="7"/>
      <c r="M30" s="7"/>
      <c r="N30" s="117"/>
      <c r="O30" s="80">
        <v>2</v>
      </c>
      <c r="P30" s="80"/>
      <c r="Q30" s="90"/>
      <c r="R30" s="90"/>
      <c r="S30" s="7"/>
      <c r="T30" s="7"/>
      <c r="U30" s="7"/>
      <c r="V30" s="7"/>
      <c r="W30" s="77">
        <v>8482103090</v>
      </c>
      <c r="X30" s="78"/>
      <c r="Y30" s="78"/>
      <c r="Z30" s="78"/>
      <c r="AA30" s="79"/>
      <c r="AB30" s="76" t="s">
        <v>61</v>
      </c>
      <c r="AC30" s="76"/>
      <c r="AD30" s="76"/>
      <c r="AE30" s="63"/>
      <c r="AF30" s="63"/>
      <c r="AG30" s="63"/>
      <c r="AH30" s="63"/>
      <c r="AI30" s="63">
        <v>2.8</v>
      </c>
      <c r="AJ30" s="44">
        <v>0.48</v>
      </c>
      <c r="AK30" s="7"/>
      <c r="AL30" s="66">
        <f t="shared" si="0"/>
        <v>5.6</v>
      </c>
      <c r="AM30" s="7"/>
      <c r="AN30" s="7"/>
      <c r="AO30" s="66">
        <f t="shared" si="1"/>
        <v>6.56</v>
      </c>
      <c r="AP30" s="69">
        <v>220200009944</v>
      </c>
    </row>
    <row r="31" spans="1:42" s="1" customFormat="1" ht="16.25" customHeight="1">
      <c r="A31" s="38">
        <v>11</v>
      </c>
      <c r="B31" s="89" t="s">
        <v>36</v>
      </c>
      <c r="C31" s="89"/>
      <c r="D31" s="89"/>
      <c r="E31" s="89"/>
      <c r="F31" s="89"/>
      <c r="G31" s="89"/>
      <c r="H31" s="89"/>
      <c r="I31" s="89"/>
      <c r="J31" s="7"/>
      <c r="K31" s="7"/>
      <c r="L31" s="7"/>
      <c r="M31" s="7"/>
      <c r="N31" s="117"/>
      <c r="O31" s="80">
        <v>2</v>
      </c>
      <c r="P31" s="80"/>
      <c r="Q31" s="90"/>
      <c r="R31" s="90"/>
      <c r="S31" s="7"/>
      <c r="T31" s="7"/>
      <c r="U31" s="7"/>
      <c r="V31" s="7"/>
      <c r="W31" s="77" t="s">
        <v>50</v>
      </c>
      <c r="X31" s="78"/>
      <c r="Y31" s="78"/>
      <c r="Z31" s="78"/>
      <c r="AA31" s="79"/>
      <c r="AB31" s="76" t="s">
        <v>62</v>
      </c>
      <c r="AC31" s="76"/>
      <c r="AD31" s="76"/>
      <c r="AE31" s="63"/>
      <c r="AF31" s="63"/>
      <c r="AG31" s="63"/>
      <c r="AH31" s="63"/>
      <c r="AI31" s="63">
        <v>2.8</v>
      </c>
      <c r="AJ31" s="44">
        <v>0.48</v>
      </c>
      <c r="AK31" s="7"/>
      <c r="AL31" s="66">
        <f t="shared" si="0"/>
        <v>5.6</v>
      </c>
      <c r="AM31" s="7"/>
      <c r="AN31" s="7"/>
      <c r="AO31" s="66">
        <f t="shared" si="1"/>
        <v>6.56</v>
      </c>
      <c r="AP31" s="69">
        <v>220200013992</v>
      </c>
    </row>
    <row r="32" spans="1:42" s="1" customFormat="1" ht="16.25" customHeight="1">
      <c r="A32" s="38">
        <v>12</v>
      </c>
      <c r="B32" s="89" t="s">
        <v>38</v>
      </c>
      <c r="C32" s="89"/>
      <c r="D32" s="89"/>
      <c r="E32" s="89"/>
      <c r="F32" s="89"/>
      <c r="G32" s="89"/>
      <c r="H32" s="89"/>
      <c r="I32" s="89"/>
      <c r="J32" s="7"/>
      <c r="K32" s="7"/>
      <c r="L32" s="7"/>
      <c r="M32" s="7"/>
      <c r="N32" s="117"/>
      <c r="O32" s="80">
        <v>2</v>
      </c>
      <c r="P32" s="80"/>
      <c r="Q32" s="90"/>
      <c r="R32" s="90"/>
      <c r="S32" s="7"/>
      <c r="T32" s="7"/>
      <c r="U32" s="7"/>
      <c r="V32" s="7"/>
      <c r="W32" s="77">
        <v>8482103090</v>
      </c>
      <c r="X32" s="78"/>
      <c r="Y32" s="78"/>
      <c r="Z32" s="78"/>
      <c r="AA32" s="79"/>
      <c r="AB32" s="76" t="s">
        <v>62</v>
      </c>
      <c r="AC32" s="76"/>
      <c r="AD32" s="76"/>
      <c r="AE32" s="63"/>
      <c r="AF32" s="63"/>
      <c r="AG32" s="63"/>
      <c r="AH32" s="63"/>
      <c r="AI32" s="63">
        <v>2.2000000000000002</v>
      </c>
      <c r="AJ32" s="44">
        <v>0.38</v>
      </c>
      <c r="AK32" s="7"/>
      <c r="AL32" s="66">
        <f t="shared" si="0"/>
        <v>4.4000000000000004</v>
      </c>
      <c r="AM32" s="7"/>
      <c r="AN32" s="7"/>
      <c r="AO32" s="66">
        <f t="shared" si="1"/>
        <v>5.16</v>
      </c>
      <c r="AP32" s="69">
        <v>220200013984</v>
      </c>
    </row>
    <row r="33" spans="1:42" s="1" customFormat="1" ht="16.25" customHeight="1">
      <c r="A33" s="38">
        <v>13</v>
      </c>
      <c r="B33" s="89" t="s">
        <v>38</v>
      </c>
      <c r="C33" s="89"/>
      <c r="D33" s="89"/>
      <c r="E33" s="89"/>
      <c r="F33" s="89"/>
      <c r="G33" s="89"/>
      <c r="H33" s="89"/>
      <c r="I33" s="89"/>
      <c r="J33" s="7"/>
      <c r="K33" s="7"/>
      <c r="L33" s="7"/>
      <c r="M33" s="7"/>
      <c r="N33" s="117"/>
      <c r="O33" s="80">
        <v>2</v>
      </c>
      <c r="P33" s="80"/>
      <c r="Q33" s="90"/>
      <c r="R33" s="90"/>
      <c r="S33" s="7"/>
      <c r="T33" s="7"/>
      <c r="U33" s="7"/>
      <c r="V33" s="7"/>
      <c r="W33" s="77" t="s">
        <v>50</v>
      </c>
      <c r="X33" s="78"/>
      <c r="Y33" s="78"/>
      <c r="Z33" s="78"/>
      <c r="AA33" s="79"/>
      <c r="AB33" s="76" t="s">
        <v>63</v>
      </c>
      <c r="AC33" s="76"/>
      <c r="AD33" s="76"/>
      <c r="AE33" s="63"/>
      <c r="AF33" s="63"/>
      <c r="AG33" s="63"/>
      <c r="AH33" s="63"/>
      <c r="AI33" s="63">
        <v>2.1</v>
      </c>
      <c r="AJ33" s="44">
        <v>0.36</v>
      </c>
      <c r="AK33" s="7"/>
      <c r="AL33" s="66">
        <f t="shared" si="0"/>
        <v>4.2</v>
      </c>
      <c r="AM33" s="7"/>
      <c r="AN33" s="7"/>
      <c r="AO33" s="66">
        <f t="shared" si="1"/>
        <v>4.92</v>
      </c>
      <c r="AP33" s="69">
        <v>220200013993</v>
      </c>
    </row>
    <row r="34" spans="1:42" s="1" customFormat="1" ht="16.25" customHeight="1">
      <c r="A34" s="38">
        <v>14</v>
      </c>
      <c r="B34" s="89" t="s">
        <v>34</v>
      </c>
      <c r="C34" s="89"/>
      <c r="D34" s="89"/>
      <c r="E34" s="89"/>
      <c r="F34" s="89"/>
      <c r="G34" s="89"/>
      <c r="H34" s="89"/>
      <c r="I34" s="89"/>
      <c r="J34" s="7"/>
      <c r="K34" s="7"/>
      <c r="L34" s="7"/>
      <c r="M34" s="7"/>
      <c r="N34" s="117"/>
      <c r="O34" s="80">
        <v>2</v>
      </c>
      <c r="P34" s="80"/>
      <c r="Q34" s="90"/>
      <c r="R34" s="90"/>
      <c r="S34" s="7"/>
      <c r="T34" s="7"/>
      <c r="U34" s="7"/>
      <c r="V34" s="7"/>
      <c r="W34" s="77" t="s">
        <v>49</v>
      </c>
      <c r="X34" s="78"/>
      <c r="Y34" s="78"/>
      <c r="Z34" s="78"/>
      <c r="AA34" s="79"/>
      <c r="AB34" s="76" t="s">
        <v>59</v>
      </c>
      <c r="AC34" s="76"/>
      <c r="AD34" s="76"/>
      <c r="AE34" s="63"/>
      <c r="AF34" s="63"/>
      <c r="AG34" s="63"/>
      <c r="AH34" s="63"/>
      <c r="AI34" s="63">
        <v>1.1000000000000001</v>
      </c>
      <c r="AJ34" s="44">
        <v>0.19</v>
      </c>
      <c r="AK34" s="7"/>
      <c r="AL34" s="66">
        <f t="shared" si="0"/>
        <v>2.2000000000000002</v>
      </c>
      <c r="AM34" s="7"/>
      <c r="AN34" s="7"/>
      <c r="AO34" s="66">
        <f t="shared" si="1"/>
        <v>2.58</v>
      </c>
      <c r="AP34" s="69">
        <v>220200013980</v>
      </c>
    </row>
    <row r="35" spans="1:42" s="1" customFormat="1" ht="16.25" customHeight="1">
      <c r="A35" s="38">
        <v>15</v>
      </c>
      <c r="B35" s="89" t="s">
        <v>34</v>
      </c>
      <c r="C35" s="89"/>
      <c r="D35" s="89"/>
      <c r="E35" s="89"/>
      <c r="F35" s="89"/>
      <c r="G35" s="89"/>
      <c r="H35" s="89"/>
      <c r="I35" s="89"/>
      <c r="J35" s="7"/>
      <c r="K35" s="7"/>
      <c r="L35" s="7"/>
      <c r="M35" s="7"/>
      <c r="N35" s="117"/>
      <c r="O35" s="80">
        <v>2</v>
      </c>
      <c r="P35" s="80"/>
      <c r="Q35" s="90"/>
      <c r="R35" s="90"/>
      <c r="S35" s="7"/>
      <c r="T35" s="7"/>
      <c r="U35" s="7"/>
      <c r="V35" s="7"/>
      <c r="W35" s="77" t="s">
        <v>49</v>
      </c>
      <c r="X35" s="78"/>
      <c r="Y35" s="78"/>
      <c r="Z35" s="78"/>
      <c r="AA35" s="79"/>
      <c r="AB35" s="76" t="s">
        <v>59</v>
      </c>
      <c r="AC35" s="76"/>
      <c r="AD35" s="76"/>
      <c r="AE35" s="63"/>
      <c r="AF35" s="63"/>
      <c r="AG35" s="63"/>
      <c r="AH35" s="63"/>
      <c r="AI35" s="63">
        <v>1.1000000000000001</v>
      </c>
      <c r="AJ35" s="44">
        <v>0.19</v>
      </c>
      <c r="AK35" s="7"/>
      <c r="AL35" s="66">
        <f t="shared" si="0"/>
        <v>2.2000000000000002</v>
      </c>
      <c r="AM35" s="7"/>
      <c r="AN35" s="7"/>
      <c r="AO35" s="66">
        <f t="shared" si="1"/>
        <v>2.58</v>
      </c>
      <c r="AP35" s="69">
        <v>220200013983</v>
      </c>
    </row>
    <row r="36" spans="1:42" s="1" customFormat="1" ht="16.25" customHeight="1">
      <c r="A36" s="38">
        <v>16</v>
      </c>
      <c r="B36" s="89" t="s">
        <v>34</v>
      </c>
      <c r="C36" s="89"/>
      <c r="D36" s="89"/>
      <c r="E36" s="89"/>
      <c r="F36" s="89"/>
      <c r="G36" s="89"/>
      <c r="H36" s="89"/>
      <c r="I36" s="89"/>
      <c r="J36" s="7"/>
      <c r="K36" s="7"/>
      <c r="L36" s="7"/>
      <c r="M36" s="7"/>
      <c r="N36" s="117"/>
      <c r="O36" s="80">
        <v>2</v>
      </c>
      <c r="P36" s="80"/>
      <c r="Q36" s="90"/>
      <c r="R36" s="90"/>
      <c r="S36" s="7"/>
      <c r="T36" s="7"/>
      <c r="U36" s="7"/>
      <c r="V36" s="7"/>
      <c r="W36" s="77" t="s">
        <v>49</v>
      </c>
      <c r="X36" s="78"/>
      <c r="Y36" s="78"/>
      <c r="Z36" s="78"/>
      <c r="AA36" s="79"/>
      <c r="AB36" s="76" t="s">
        <v>59</v>
      </c>
      <c r="AC36" s="76"/>
      <c r="AD36" s="76"/>
      <c r="AE36" s="63"/>
      <c r="AF36" s="63"/>
      <c r="AG36" s="63"/>
      <c r="AH36" s="63"/>
      <c r="AI36" s="63">
        <v>1.1000000000000001</v>
      </c>
      <c r="AJ36" s="44">
        <v>0.19</v>
      </c>
      <c r="AK36" s="7"/>
      <c r="AL36" s="66">
        <f t="shared" si="0"/>
        <v>2.2000000000000002</v>
      </c>
      <c r="AM36" s="7"/>
      <c r="AN36" s="7"/>
      <c r="AO36" s="66">
        <f t="shared" si="1"/>
        <v>2.58</v>
      </c>
      <c r="AP36" s="69">
        <v>220200013988</v>
      </c>
    </row>
    <row r="37" spans="1:42" s="1" customFormat="1" ht="16.25" customHeight="1">
      <c r="A37" s="38">
        <v>17</v>
      </c>
      <c r="B37" s="89" t="s">
        <v>39</v>
      </c>
      <c r="C37" s="89"/>
      <c r="D37" s="89"/>
      <c r="E37" s="89"/>
      <c r="F37" s="89"/>
      <c r="G37" s="89"/>
      <c r="H37" s="89"/>
      <c r="I37" s="89"/>
      <c r="J37" s="7"/>
      <c r="K37" s="7"/>
      <c r="L37" s="7"/>
      <c r="M37" s="7"/>
      <c r="N37" s="117"/>
      <c r="O37" s="80">
        <v>2</v>
      </c>
      <c r="P37" s="80"/>
      <c r="Q37" s="90"/>
      <c r="R37" s="90"/>
      <c r="S37" s="7"/>
      <c r="T37" s="7"/>
      <c r="U37" s="7"/>
      <c r="V37" s="7"/>
      <c r="W37" s="77" t="s">
        <v>52</v>
      </c>
      <c r="X37" s="78"/>
      <c r="Y37" s="78"/>
      <c r="Z37" s="78"/>
      <c r="AA37" s="79"/>
      <c r="AB37" s="76" t="s">
        <v>64</v>
      </c>
      <c r="AC37" s="76"/>
      <c r="AD37" s="76"/>
      <c r="AE37" s="63"/>
      <c r="AF37" s="63"/>
      <c r="AG37" s="63"/>
      <c r="AH37" s="63"/>
      <c r="AI37" s="63">
        <v>2.1</v>
      </c>
      <c r="AJ37" s="44">
        <v>0.36</v>
      </c>
      <c r="AK37" s="7"/>
      <c r="AL37" s="66">
        <f t="shared" si="0"/>
        <v>4.2</v>
      </c>
      <c r="AM37" s="7"/>
      <c r="AN37" s="7"/>
      <c r="AO37" s="66">
        <f t="shared" si="1"/>
        <v>4.92</v>
      </c>
      <c r="AP37" s="69">
        <v>220200013985</v>
      </c>
    </row>
    <row r="38" spans="1:42" s="1" customFormat="1" ht="16.25" customHeight="1">
      <c r="A38" s="38">
        <v>18</v>
      </c>
      <c r="B38" s="89" t="s">
        <v>34</v>
      </c>
      <c r="C38" s="89"/>
      <c r="D38" s="89"/>
      <c r="E38" s="89"/>
      <c r="F38" s="89"/>
      <c r="G38" s="89"/>
      <c r="H38" s="89"/>
      <c r="I38" s="89"/>
      <c r="J38" s="7"/>
      <c r="K38" s="7"/>
      <c r="L38" s="7"/>
      <c r="M38" s="7"/>
      <c r="N38" s="117"/>
      <c r="O38" s="80">
        <v>2</v>
      </c>
      <c r="P38" s="80"/>
      <c r="Q38" s="90"/>
      <c r="R38" s="90"/>
      <c r="S38" s="7"/>
      <c r="T38" s="7"/>
      <c r="U38" s="7"/>
      <c r="V38" s="7"/>
      <c r="W38" s="77" t="s">
        <v>49</v>
      </c>
      <c r="X38" s="78"/>
      <c r="Y38" s="78"/>
      <c r="Z38" s="78"/>
      <c r="AA38" s="79"/>
      <c r="AB38" s="76" t="s">
        <v>64</v>
      </c>
      <c r="AC38" s="76"/>
      <c r="AD38" s="76"/>
      <c r="AE38" s="63"/>
      <c r="AF38" s="63"/>
      <c r="AG38" s="63"/>
      <c r="AH38" s="63"/>
      <c r="AI38" s="63">
        <v>2.1</v>
      </c>
      <c r="AJ38" s="44">
        <v>0.36</v>
      </c>
      <c r="AK38" s="7"/>
      <c r="AL38" s="66">
        <f t="shared" si="0"/>
        <v>4.2</v>
      </c>
      <c r="AM38" s="7"/>
      <c r="AN38" s="7"/>
      <c r="AO38" s="66">
        <f t="shared" si="1"/>
        <v>4.92</v>
      </c>
      <c r="AP38" s="69">
        <v>220200013990</v>
      </c>
    </row>
    <row r="39" spans="1:42" s="1" customFormat="1" ht="16.25" customHeight="1">
      <c r="A39" s="38">
        <v>19</v>
      </c>
      <c r="B39" s="89" t="s">
        <v>39</v>
      </c>
      <c r="C39" s="89"/>
      <c r="D39" s="89"/>
      <c r="E39" s="89"/>
      <c r="F39" s="89"/>
      <c r="G39" s="89"/>
      <c r="H39" s="89"/>
      <c r="I39" s="89"/>
      <c r="J39" s="7"/>
      <c r="K39" s="7"/>
      <c r="L39" s="7"/>
      <c r="M39" s="7"/>
      <c r="N39" s="117"/>
      <c r="O39" s="80">
        <v>2</v>
      </c>
      <c r="P39" s="80"/>
      <c r="Q39" s="90"/>
      <c r="R39" s="90"/>
      <c r="S39" s="7"/>
      <c r="T39" s="7"/>
      <c r="U39" s="7"/>
      <c r="V39" s="7"/>
      <c r="W39" s="77" t="s">
        <v>52</v>
      </c>
      <c r="X39" s="78"/>
      <c r="Y39" s="78"/>
      <c r="Z39" s="78"/>
      <c r="AA39" s="79"/>
      <c r="AB39" s="76" t="s">
        <v>64</v>
      </c>
      <c r="AC39" s="76"/>
      <c r="AD39" s="76"/>
      <c r="AE39" s="63"/>
      <c r="AF39" s="63"/>
      <c r="AG39" s="63"/>
      <c r="AH39" s="63"/>
      <c r="AI39" s="63">
        <v>2.1</v>
      </c>
      <c r="AJ39" s="44">
        <v>0.36</v>
      </c>
      <c r="AK39" s="7"/>
      <c r="AL39" s="66">
        <f t="shared" si="0"/>
        <v>4.2</v>
      </c>
      <c r="AM39" s="7"/>
      <c r="AN39" s="7"/>
      <c r="AO39" s="66">
        <f t="shared" si="1"/>
        <v>4.92</v>
      </c>
      <c r="AP39" s="69">
        <v>220200013982</v>
      </c>
    </row>
    <row r="40" spans="1:42" s="1" customFormat="1" ht="16.25" customHeight="1">
      <c r="A40" s="38">
        <v>20</v>
      </c>
      <c r="B40" s="134" t="s">
        <v>57</v>
      </c>
      <c r="C40" s="135"/>
      <c r="D40" s="135"/>
      <c r="E40" s="135"/>
      <c r="F40" s="135"/>
      <c r="G40" s="135"/>
      <c r="H40" s="135"/>
      <c r="I40" s="136"/>
      <c r="J40" s="7"/>
      <c r="K40" s="7"/>
      <c r="L40" s="7"/>
      <c r="M40" s="7"/>
      <c r="N40" s="117"/>
      <c r="O40" s="77">
        <v>2</v>
      </c>
      <c r="P40" s="79"/>
      <c r="Q40" s="90"/>
      <c r="R40" s="90"/>
      <c r="S40" s="7"/>
      <c r="T40" s="7"/>
      <c r="U40" s="7"/>
      <c r="V40" s="7"/>
      <c r="W40" s="65"/>
      <c r="X40" s="65"/>
      <c r="Y40" s="65"/>
      <c r="Z40" s="77" t="s">
        <v>49</v>
      </c>
      <c r="AA40" s="79"/>
      <c r="AB40" s="76" t="s">
        <v>64</v>
      </c>
      <c r="AC40" s="76"/>
      <c r="AD40" s="76"/>
      <c r="AE40" s="73"/>
      <c r="AF40" s="73"/>
      <c r="AG40" s="73"/>
      <c r="AH40" s="73"/>
      <c r="AI40" s="63">
        <v>2.1</v>
      </c>
      <c r="AJ40" s="44">
        <v>0.36</v>
      </c>
      <c r="AK40" s="74"/>
      <c r="AL40" s="66">
        <f t="shared" si="0"/>
        <v>4.2</v>
      </c>
      <c r="AM40" s="74"/>
      <c r="AN40" s="74"/>
      <c r="AO40" s="66">
        <f t="shared" si="1"/>
        <v>4.92</v>
      </c>
      <c r="AP40" s="69">
        <v>220200013990</v>
      </c>
    </row>
    <row r="41" spans="1:42" s="1" customFormat="1" ht="16.25" customHeight="1">
      <c r="A41" s="38">
        <v>21</v>
      </c>
      <c r="B41" s="89" t="s">
        <v>39</v>
      </c>
      <c r="C41" s="89"/>
      <c r="D41" s="89"/>
      <c r="E41" s="89"/>
      <c r="F41" s="89"/>
      <c r="G41" s="89"/>
      <c r="H41" s="89"/>
      <c r="I41" s="89"/>
      <c r="J41" s="7"/>
      <c r="K41" s="7"/>
      <c r="L41" s="7"/>
      <c r="M41" s="7"/>
      <c r="N41" s="117"/>
      <c r="O41" s="80">
        <v>2</v>
      </c>
      <c r="P41" s="80"/>
      <c r="Q41" s="90"/>
      <c r="R41" s="90"/>
      <c r="S41" s="7"/>
      <c r="T41" s="7"/>
      <c r="U41" s="7"/>
      <c r="V41" s="7"/>
      <c r="W41" s="77" t="s">
        <v>52</v>
      </c>
      <c r="X41" s="78"/>
      <c r="Y41" s="78"/>
      <c r="Z41" s="78"/>
      <c r="AA41" s="79"/>
      <c r="AB41" s="76" t="s">
        <v>64</v>
      </c>
      <c r="AC41" s="76"/>
      <c r="AD41" s="76"/>
      <c r="AE41" s="63"/>
      <c r="AF41" s="63"/>
      <c r="AG41" s="63"/>
      <c r="AH41" s="63"/>
      <c r="AI41" s="63">
        <v>2.1</v>
      </c>
      <c r="AJ41" s="44">
        <v>0.36</v>
      </c>
      <c r="AK41" s="7"/>
      <c r="AL41" s="66">
        <f t="shared" ref="AL41:AL68" si="2">SUM(AI41)*O41</f>
        <v>4.2</v>
      </c>
      <c r="AM41" s="7"/>
      <c r="AN41" s="7"/>
      <c r="AO41" s="66">
        <f t="shared" ref="AO41:AO68" si="3">SUM(AI41+AJ41)*O41</f>
        <v>4.92</v>
      </c>
      <c r="AP41" s="69">
        <v>220200013986</v>
      </c>
    </row>
    <row r="42" spans="1:42" s="1" customFormat="1" ht="16.25" customHeight="1">
      <c r="A42" s="38">
        <v>22</v>
      </c>
      <c r="B42" s="89" t="s">
        <v>40</v>
      </c>
      <c r="C42" s="89"/>
      <c r="D42" s="89"/>
      <c r="E42" s="89"/>
      <c r="F42" s="89"/>
      <c r="G42" s="89"/>
      <c r="H42" s="89"/>
      <c r="I42" s="89"/>
      <c r="J42" s="7"/>
      <c r="K42" s="7"/>
      <c r="L42" s="7"/>
      <c r="M42" s="7"/>
      <c r="N42" s="117"/>
      <c r="O42" s="80">
        <v>2</v>
      </c>
      <c r="P42" s="80"/>
      <c r="Q42" s="90"/>
      <c r="R42" s="90"/>
      <c r="S42" s="7"/>
      <c r="T42" s="7"/>
      <c r="U42" s="7"/>
      <c r="V42" s="7"/>
      <c r="W42" s="77" t="s">
        <v>52</v>
      </c>
      <c r="X42" s="78"/>
      <c r="Y42" s="78"/>
      <c r="Z42" s="78"/>
      <c r="AA42" s="79"/>
      <c r="AB42" s="76" t="s">
        <v>65</v>
      </c>
      <c r="AC42" s="76"/>
      <c r="AD42" s="76"/>
      <c r="AE42" s="63"/>
      <c r="AF42" s="63"/>
      <c r="AG42" s="63"/>
      <c r="AH42" s="63"/>
      <c r="AI42" s="63">
        <v>1.8</v>
      </c>
      <c r="AJ42" s="44">
        <v>0.31</v>
      </c>
      <c r="AK42" s="7"/>
      <c r="AL42" s="66">
        <f t="shared" si="2"/>
        <v>3.6</v>
      </c>
      <c r="AM42" s="7"/>
      <c r="AN42" s="7"/>
      <c r="AO42" s="66">
        <f t="shared" si="3"/>
        <v>4.22</v>
      </c>
      <c r="AP42" s="69">
        <v>220200013977</v>
      </c>
    </row>
    <row r="43" spans="1:42" s="1" customFormat="1" ht="16.25" customHeight="1">
      <c r="A43" s="38">
        <v>23</v>
      </c>
      <c r="B43" s="89" t="s">
        <v>36</v>
      </c>
      <c r="C43" s="89"/>
      <c r="D43" s="89"/>
      <c r="E43" s="89"/>
      <c r="F43" s="89"/>
      <c r="G43" s="89"/>
      <c r="H43" s="89"/>
      <c r="I43" s="89"/>
      <c r="J43" s="7"/>
      <c r="K43" s="7"/>
      <c r="L43" s="7"/>
      <c r="M43" s="7"/>
      <c r="N43" s="117"/>
      <c r="O43" s="80">
        <v>2</v>
      </c>
      <c r="P43" s="80"/>
      <c r="Q43" s="90"/>
      <c r="R43" s="90"/>
      <c r="S43" s="7"/>
      <c r="T43" s="7"/>
      <c r="U43" s="7"/>
      <c r="V43" s="7"/>
      <c r="W43" s="77">
        <v>8482400090</v>
      </c>
      <c r="X43" s="78"/>
      <c r="Y43" s="78"/>
      <c r="Z43" s="78"/>
      <c r="AA43" s="79"/>
      <c r="AB43" s="76" t="s">
        <v>65</v>
      </c>
      <c r="AC43" s="76"/>
      <c r="AD43" s="76"/>
      <c r="AE43" s="63"/>
      <c r="AF43" s="63"/>
      <c r="AG43" s="63"/>
      <c r="AH43" s="63"/>
      <c r="AI43" s="63">
        <v>1.8</v>
      </c>
      <c r="AJ43" s="44">
        <v>0.31</v>
      </c>
      <c r="AK43" s="7"/>
      <c r="AL43" s="66">
        <f t="shared" si="2"/>
        <v>3.6</v>
      </c>
      <c r="AM43" s="7"/>
      <c r="AN43" s="7"/>
      <c r="AO43" s="66">
        <f t="shared" si="3"/>
        <v>4.22</v>
      </c>
      <c r="AP43" s="69">
        <v>220200013978</v>
      </c>
    </row>
    <row r="44" spans="1:42" s="1" customFormat="1" ht="16.25" customHeight="1">
      <c r="A44" s="38">
        <v>24</v>
      </c>
      <c r="B44" s="89" t="s">
        <v>36</v>
      </c>
      <c r="C44" s="89"/>
      <c r="D44" s="89"/>
      <c r="E44" s="89"/>
      <c r="F44" s="89"/>
      <c r="G44" s="89"/>
      <c r="H44" s="89"/>
      <c r="I44" s="89"/>
      <c r="J44" s="7"/>
      <c r="K44" s="7"/>
      <c r="L44" s="7"/>
      <c r="M44" s="7"/>
      <c r="N44" s="117"/>
      <c r="O44" s="80">
        <v>2</v>
      </c>
      <c r="P44" s="80"/>
      <c r="Q44" s="90"/>
      <c r="R44" s="90"/>
      <c r="S44" s="7"/>
      <c r="T44" s="7"/>
      <c r="U44" s="7"/>
      <c r="V44" s="7"/>
      <c r="W44" s="77">
        <v>8482103090</v>
      </c>
      <c r="X44" s="78"/>
      <c r="Y44" s="78"/>
      <c r="Z44" s="78"/>
      <c r="AA44" s="79"/>
      <c r="AB44" s="76" t="s">
        <v>65</v>
      </c>
      <c r="AC44" s="76"/>
      <c r="AD44" s="76"/>
      <c r="AE44" s="63"/>
      <c r="AF44" s="63"/>
      <c r="AG44" s="63"/>
      <c r="AH44" s="63"/>
      <c r="AI44" s="63">
        <v>1.8</v>
      </c>
      <c r="AJ44" s="44">
        <v>0.31</v>
      </c>
      <c r="AK44" s="7"/>
      <c r="AL44" s="66">
        <f t="shared" si="2"/>
        <v>3.6</v>
      </c>
      <c r="AM44" s="7"/>
      <c r="AN44" s="7"/>
      <c r="AO44" s="66">
        <f t="shared" si="3"/>
        <v>4.22</v>
      </c>
      <c r="AP44" s="69">
        <v>220200013987</v>
      </c>
    </row>
    <row r="45" spans="1:42" s="1" customFormat="1" ht="16.25" customHeight="1">
      <c r="A45" s="38">
        <v>25</v>
      </c>
      <c r="B45" s="89" t="s">
        <v>39</v>
      </c>
      <c r="C45" s="89"/>
      <c r="D45" s="89"/>
      <c r="E45" s="89"/>
      <c r="F45" s="89"/>
      <c r="G45" s="89"/>
      <c r="H45" s="89"/>
      <c r="I45" s="89"/>
      <c r="J45" s="7"/>
      <c r="K45" s="7"/>
      <c r="L45" s="7"/>
      <c r="M45" s="7"/>
      <c r="N45" s="117"/>
      <c r="O45" s="80">
        <v>2</v>
      </c>
      <c r="P45" s="80"/>
      <c r="Q45" s="90"/>
      <c r="R45" s="90"/>
      <c r="S45" s="7"/>
      <c r="T45" s="7"/>
      <c r="U45" s="7"/>
      <c r="V45" s="7"/>
      <c r="W45" s="77">
        <v>8482103090</v>
      </c>
      <c r="X45" s="78"/>
      <c r="Y45" s="78"/>
      <c r="Z45" s="78"/>
      <c r="AA45" s="79"/>
      <c r="AB45" s="76" t="s">
        <v>65</v>
      </c>
      <c r="AC45" s="76"/>
      <c r="AD45" s="76"/>
      <c r="AE45" s="63"/>
      <c r="AF45" s="63"/>
      <c r="AG45" s="63"/>
      <c r="AH45" s="63"/>
      <c r="AI45" s="63">
        <v>1.8</v>
      </c>
      <c r="AJ45" s="44">
        <v>0.31</v>
      </c>
      <c r="AK45" s="7"/>
      <c r="AL45" s="66">
        <f t="shared" si="2"/>
        <v>3.6</v>
      </c>
      <c r="AM45" s="7"/>
      <c r="AN45" s="7"/>
      <c r="AO45" s="66">
        <f t="shared" si="3"/>
        <v>4.22</v>
      </c>
      <c r="AP45" s="69">
        <v>220200013981</v>
      </c>
    </row>
    <row r="46" spans="1:42" s="1" customFormat="1" ht="16.25" customHeight="1">
      <c r="A46" s="38">
        <v>26</v>
      </c>
      <c r="B46" s="89" t="s">
        <v>40</v>
      </c>
      <c r="C46" s="89"/>
      <c r="D46" s="89"/>
      <c r="E46" s="89"/>
      <c r="F46" s="89"/>
      <c r="G46" s="89"/>
      <c r="H46" s="89"/>
      <c r="I46" s="89"/>
      <c r="J46" s="7"/>
      <c r="K46" s="7"/>
      <c r="L46" s="7"/>
      <c r="M46" s="7"/>
      <c r="N46" s="117"/>
      <c r="O46" s="80">
        <v>2</v>
      </c>
      <c r="P46" s="80"/>
      <c r="Q46" s="90"/>
      <c r="R46" s="90"/>
      <c r="S46" s="7"/>
      <c r="T46" s="7"/>
      <c r="U46" s="7"/>
      <c r="V46" s="7"/>
      <c r="W46" s="77" t="s">
        <v>52</v>
      </c>
      <c r="X46" s="78"/>
      <c r="Y46" s="78"/>
      <c r="Z46" s="78"/>
      <c r="AA46" s="79"/>
      <c r="AB46" s="76" t="s">
        <v>65</v>
      </c>
      <c r="AC46" s="76"/>
      <c r="AD46" s="76"/>
      <c r="AE46" s="63"/>
      <c r="AF46" s="63"/>
      <c r="AG46" s="63"/>
      <c r="AH46" s="63"/>
      <c r="AI46" s="63">
        <v>1.85</v>
      </c>
      <c r="AJ46" s="44">
        <v>0.32</v>
      </c>
      <c r="AK46" s="7"/>
      <c r="AL46" s="66">
        <f t="shared" si="2"/>
        <v>3.7</v>
      </c>
      <c r="AM46" s="7"/>
      <c r="AN46" s="7"/>
      <c r="AO46" s="66">
        <f t="shared" si="3"/>
        <v>4.34</v>
      </c>
      <c r="AP46" s="69">
        <v>220200013979</v>
      </c>
    </row>
    <row r="47" spans="1:42" s="1" customFormat="1" ht="16.25" customHeight="1">
      <c r="A47" s="38">
        <v>27</v>
      </c>
      <c r="B47" s="89" t="s">
        <v>39</v>
      </c>
      <c r="C47" s="89"/>
      <c r="D47" s="89"/>
      <c r="E47" s="89"/>
      <c r="F47" s="89"/>
      <c r="G47" s="89"/>
      <c r="H47" s="89"/>
      <c r="I47" s="89"/>
      <c r="J47" s="7"/>
      <c r="K47" s="7"/>
      <c r="L47" s="7"/>
      <c r="M47" s="7"/>
      <c r="N47" s="117"/>
      <c r="O47" s="80">
        <v>2</v>
      </c>
      <c r="P47" s="80"/>
      <c r="Q47" s="90"/>
      <c r="R47" s="90"/>
      <c r="S47" s="7"/>
      <c r="T47" s="7"/>
      <c r="U47" s="7"/>
      <c r="V47" s="7"/>
      <c r="W47" s="77">
        <v>8482400090</v>
      </c>
      <c r="X47" s="78"/>
      <c r="Y47" s="78"/>
      <c r="Z47" s="78"/>
      <c r="AA47" s="79"/>
      <c r="AB47" s="76" t="s">
        <v>66</v>
      </c>
      <c r="AC47" s="76"/>
      <c r="AD47" s="76"/>
      <c r="AE47" s="63"/>
      <c r="AF47" s="63"/>
      <c r="AG47" s="63"/>
      <c r="AH47" s="63"/>
      <c r="AI47" s="63">
        <v>1.95</v>
      </c>
      <c r="AJ47" s="44">
        <v>0.34</v>
      </c>
      <c r="AK47" s="7"/>
      <c r="AL47" s="66">
        <f t="shared" si="2"/>
        <v>3.9</v>
      </c>
      <c r="AM47" s="7"/>
      <c r="AN47" s="7"/>
      <c r="AO47" s="66">
        <f t="shared" si="3"/>
        <v>4.58</v>
      </c>
      <c r="AP47" s="69">
        <v>220200013989</v>
      </c>
    </row>
    <row r="48" spans="1:42" s="1" customFormat="1" ht="16.25" customHeight="1">
      <c r="A48" s="38">
        <v>28</v>
      </c>
      <c r="B48" s="89" t="s">
        <v>34</v>
      </c>
      <c r="C48" s="89"/>
      <c r="D48" s="89"/>
      <c r="E48" s="89"/>
      <c r="F48" s="89"/>
      <c r="G48" s="89"/>
      <c r="H48" s="89"/>
      <c r="I48" s="89"/>
      <c r="J48" s="7"/>
      <c r="K48" s="7"/>
      <c r="L48" s="7"/>
      <c r="M48" s="7"/>
      <c r="N48" s="117"/>
      <c r="O48" s="80">
        <v>2</v>
      </c>
      <c r="P48" s="80"/>
      <c r="Q48" s="90"/>
      <c r="R48" s="90"/>
      <c r="S48" s="7"/>
      <c r="T48" s="7"/>
      <c r="U48" s="7"/>
      <c r="V48" s="7"/>
      <c r="W48" s="77" t="s">
        <v>49</v>
      </c>
      <c r="X48" s="78"/>
      <c r="Y48" s="78"/>
      <c r="Z48" s="78"/>
      <c r="AA48" s="79"/>
      <c r="AB48" s="76" t="s">
        <v>67</v>
      </c>
      <c r="AC48" s="76"/>
      <c r="AD48" s="76"/>
      <c r="AE48" s="63"/>
      <c r="AF48" s="63"/>
      <c r="AG48" s="63"/>
      <c r="AH48" s="63"/>
      <c r="AI48" s="63">
        <v>2</v>
      </c>
      <c r="AJ48" s="44">
        <v>0.34</v>
      </c>
      <c r="AK48" s="7"/>
      <c r="AL48" s="66">
        <f t="shared" si="2"/>
        <v>4</v>
      </c>
      <c r="AM48" s="7"/>
      <c r="AN48" s="7"/>
      <c r="AO48" s="66">
        <f t="shared" si="3"/>
        <v>4.68</v>
      </c>
      <c r="AP48" s="69">
        <v>220200013991</v>
      </c>
    </row>
    <row r="49" spans="1:42" s="1" customFormat="1" ht="16.25" customHeight="1">
      <c r="A49" s="38">
        <v>29</v>
      </c>
      <c r="B49" s="89" t="s">
        <v>34</v>
      </c>
      <c r="C49" s="89"/>
      <c r="D49" s="89"/>
      <c r="E49" s="89"/>
      <c r="F49" s="89"/>
      <c r="G49" s="89"/>
      <c r="H49" s="89"/>
      <c r="I49" s="89"/>
      <c r="J49" s="7"/>
      <c r="K49" s="7"/>
      <c r="L49" s="7"/>
      <c r="M49" s="7"/>
      <c r="N49" s="117"/>
      <c r="O49" s="80">
        <v>2</v>
      </c>
      <c r="P49" s="80"/>
      <c r="Q49" s="90"/>
      <c r="R49" s="90"/>
      <c r="S49" s="7"/>
      <c r="T49" s="7"/>
      <c r="U49" s="7"/>
      <c r="V49" s="7"/>
      <c r="W49" s="77" t="s">
        <v>49</v>
      </c>
      <c r="X49" s="78"/>
      <c r="Y49" s="78"/>
      <c r="Z49" s="78"/>
      <c r="AA49" s="79"/>
      <c r="AB49" s="76" t="s">
        <v>67</v>
      </c>
      <c r="AC49" s="76"/>
      <c r="AD49" s="76"/>
      <c r="AE49" s="63"/>
      <c r="AF49" s="63"/>
      <c r="AG49" s="63"/>
      <c r="AH49" s="63"/>
      <c r="AI49" s="63">
        <v>2</v>
      </c>
      <c r="AJ49" s="44">
        <v>0.34</v>
      </c>
      <c r="AK49" s="7"/>
      <c r="AL49" s="66">
        <f t="shared" si="2"/>
        <v>4</v>
      </c>
      <c r="AM49" s="7"/>
      <c r="AN49" s="7"/>
      <c r="AO49" s="66">
        <f t="shared" si="3"/>
        <v>4.68</v>
      </c>
      <c r="AP49" s="69">
        <v>220200013976</v>
      </c>
    </row>
    <row r="50" spans="1:42" s="1" customFormat="1" ht="16.25" customHeight="1">
      <c r="A50" s="38">
        <v>30</v>
      </c>
      <c r="B50" s="89" t="s">
        <v>34</v>
      </c>
      <c r="C50" s="89"/>
      <c r="D50" s="89"/>
      <c r="E50" s="89"/>
      <c r="F50" s="89"/>
      <c r="G50" s="89"/>
      <c r="H50" s="89"/>
      <c r="I50" s="89"/>
      <c r="J50" s="7"/>
      <c r="K50" s="7"/>
      <c r="L50" s="7"/>
      <c r="M50" s="7"/>
      <c r="N50" s="117"/>
      <c r="O50" s="80">
        <v>2</v>
      </c>
      <c r="P50" s="80"/>
      <c r="Q50" s="90"/>
      <c r="R50" s="90"/>
      <c r="S50" s="7"/>
      <c r="T50" s="7"/>
      <c r="U50" s="7"/>
      <c r="V50" s="7"/>
      <c r="W50" s="77" t="s">
        <v>49</v>
      </c>
      <c r="X50" s="78"/>
      <c r="Y50" s="78"/>
      <c r="Z50" s="78"/>
      <c r="AA50" s="79"/>
      <c r="AB50" s="76" t="s">
        <v>67</v>
      </c>
      <c r="AC50" s="76"/>
      <c r="AD50" s="76"/>
      <c r="AE50" s="63"/>
      <c r="AF50" s="63"/>
      <c r="AG50" s="63"/>
      <c r="AH50" s="63"/>
      <c r="AI50" s="63">
        <v>2</v>
      </c>
      <c r="AJ50" s="44">
        <v>0.34</v>
      </c>
      <c r="AK50" s="7"/>
      <c r="AL50" s="66">
        <f t="shared" si="2"/>
        <v>4</v>
      </c>
      <c r="AM50" s="7"/>
      <c r="AN50" s="7"/>
      <c r="AO50" s="66">
        <f t="shared" si="3"/>
        <v>4.68</v>
      </c>
      <c r="AP50" s="69">
        <v>220200013963</v>
      </c>
    </row>
    <row r="51" spans="1:42" s="1" customFormat="1" ht="16.25" customHeight="1">
      <c r="A51" s="38">
        <v>31</v>
      </c>
      <c r="B51" s="89" t="s">
        <v>39</v>
      </c>
      <c r="C51" s="89"/>
      <c r="D51" s="89"/>
      <c r="E51" s="89"/>
      <c r="F51" s="89"/>
      <c r="G51" s="89"/>
      <c r="H51" s="89"/>
      <c r="I51" s="89"/>
      <c r="J51" s="7"/>
      <c r="K51" s="7"/>
      <c r="L51" s="7"/>
      <c r="M51" s="7"/>
      <c r="N51" s="117"/>
      <c r="O51" s="80">
        <v>2</v>
      </c>
      <c r="P51" s="80"/>
      <c r="Q51" s="90"/>
      <c r="R51" s="90"/>
      <c r="S51" s="7"/>
      <c r="T51" s="7"/>
      <c r="U51" s="7"/>
      <c r="V51" s="7"/>
      <c r="W51" s="77" t="s">
        <v>52</v>
      </c>
      <c r="X51" s="78"/>
      <c r="Y51" s="78"/>
      <c r="Z51" s="78"/>
      <c r="AA51" s="79"/>
      <c r="AB51" s="76" t="s">
        <v>67</v>
      </c>
      <c r="AC51" s="76"/>
      <c r="AD51" s="76"/>
      <c r="AE51" s="63"/>
      <c r="AF51" s="63"/>
      <c r="AG51" s="63"/>
      <c r="AH51" s="63"/>
      <c r="AI51" s="63">
        <v>2</v>
      </c>
      <c r="AJ51" s="44">
        <v>0.34</v>
      </c>
      <c r="AK51" s="7"/>
      <c r="AL51" s="66">
        <f t="shared" si="2"/>
        <v>4</v>
      </c>
      <c r="AM51" s="7"/>
      <c r="AN51" s="7"/>
      <c r="AO51" s="66">
        <f t="shared" si="3"/>
        <v>4.68</v>
      </c>
      <c r="AP51" s="69">
        <v>220200013968</v>
      </c>
    </row>
    <row r="52" spans="1:42" s="1" customFormat="1" ht="16.25" customHeight="1">
      <c r="A52" s="38">
        <v>32</v>
      </c>
      <c r="B52" s="89" t="s">
        <v>34</v>
      </c>
      <c r="C52" s="89"/>
      <c r="D52" s="89"/>
      <c r="E52" s="89"/>
      <c r="F52" s="89"/>
      <c r="G52" s="89"/>
      <c r="H52" s="89"/>
      <c r="I52" s="89"/>
      <c r="J52" s="7"/>
      <c r="K52" s="7"/>
      <c r="L52" s="7"/>
      <c r="M52" s="7"/>
      <c r="N52" s="117"/>
      <c r="O52" s="80">
        <v>2</v>
      </c>
      <c r="P52" s="80"/>
      <c r="Q52" s="90"/>
      <c r="R52" s="90"/>
      <c r="S52" s="7"/>
      <c r="T52" s="7"/>
      <c r="U52" s="7"/>
      <c r="V52" s="7"/>
      <c r="W52" s="77" t="s">
        <v>49</v>
      </c>
      <c r="X52" s="78"/>
      <c r="Y52" s="78"/>
      <c r="Z52" s="78"/>
      <c r="AA52" s="79"/>
      <c r="AB52" s="76" t="s">
        <v>67</v>
      </c>
      <c r="AC52" s="76"/>
      <c r="AD52" s="76"/>
      <c r="AE52" s="63"/>
      <c r="AF52" s="63"/>
      <c r="AG52" s="63"/>
      <c r="AH52" s="63"/>
      <c r="AI52" s="63">
        <v>2</v>
      </c>
      <c r="AJ52" s="44">
        <v>0.34</v>
      </c>
      <c r="AK52" s="7"/>
      <c r="AL52" s="66">
        <f t="shared" si="2"/>
        <v>4</v>
      </c>
      <c r="AM52" s="7"/>
      <c r="AN52" s="7"/>
      <c r="AO52" s="66">
        <f t="shared" si="3"/>
        <v>4.68</v>
      </c>
      <c r="AP52" s="69">
        <v>220200013971</v>
      </c>
    </row>
    <row r="53" spans="1:42" s="1" customFormat="1" ht="16.25" customHeight="1">
      <c r="A53" s="38">
        <v>33</v>
      </c>
      <c r="B53" s="89" t="s">
        <v>34</v>
      </c>
      <c r="C53" s="89"/>
      <c r="D53" s="89"/>
      <c r="E53" s="89"/>
      <c r="F53" s="89"/>
      <c r="G53" s="89"/>
      <c r="H53" s="89"/>
      <c r="I53" s="89"/>
      <c r="J53" s="7"/>
      <c r="K53" s="7"/>
      <c r="L53" s="7"/>
      <c r="M53" s="7"/>
      <c r="N53" s="117"/>
      <c r="O53" s="80">
        <v>2</v>
      </c>
      <c r="P53" s="80"/>
      <c r="Q53" s="90"/>
      <c r="R53" s="90"/>
      <c r="S53" s="7"/>
      <c r="T53" s="7"/>
      <c r="U53" s="7"/>
      <c r="V53" s="7"/>
      <c r="W53" s="77" t="s">
        <v>49</v>
      </c>
      <c r="X53" s="78"/>
      <c r="Y53" s="78"/>
      <c r="Z53" s="78"/>
      <c r="AA53" s="79"/>
      <c r="AB53" s="76" t="s">
        <v>67</v>
      </c>
      <c r="AC53" s="76"/>
      <c r="AD53" s="76"/>
      <c r="AE53" s="63"/>
      <c r="AF53" s="63"/>
      <c r="AG53" s="63"/>
      <c r="AH53" s="63"/>
      <c r="AI53" s="63">
        <v>2</v>
      </c>
      <c r="AJ53" s="44">
        <v>0.34</v>
      </c>
      <c r="AK53" s="7"/>
      <c r="AL53" s="66">
        <f t="shared" si="2"/>
        <v>4</v>
      </c>
      <c r="AM53" s="7"/>
      <c r="AN53" s="7"/>
      <c r="AO53" s="66">
        <f t="shared" si="3"/>
        <v>4.68</v>
      </c>
      <c r="AP53" s="69">
        <v>220200013967</v>
      </c>
    </row>
    <row r="54" spans="1:42" s="1" customFormat="1" ht="16.25" customHeight="1">
      <c r="A54" s="38">
        <v>34</v>
      </c>
      <c r="B54" s="89" t="s">
        <v>34</v>
      </c>
      <c r="C54" s="89"/>
      <c r="D54" s="89"/>
      <c r="E54" s="89"/>
      <c r="F54" s="89"/>
      <c r="G54" s="89"/>
      <c r="H54" s="89"/>
      <c r="I54" s="89"/>
      <c r="J54" s="7"/>
      <c r="K54" s="7"/>
      <c r="L54" s="7"/>
      <c r="M54" s="7"/>
      <c r="N54" s="117"/>
      <c r="O54" s="80">
        <v>2</v>
      </c>
      <c r="P54" s="80"/>
      <c r="Q54" s="90"/>
      <c r="R54" s="90"/>
      <c r="S54" s="7"/>
      <c r="T54" s="7"/>
      <c r="U54" s="7"/>
      <c r="V54" s="7"/>
      <c r="W54" s="77" t="s">
        <v>49</v>
      </c>
      <c r="X54" s="78"/>
      <c r="Y54" s="78"/>
      <c r="Z54" s="78"/>
      <c r="AA54" s="79"/>
      <c r="AB54" s="76" t="s">
        <v>68</v>
      </c>
      <c r="AC54" s="76"/>
      <c r="AD54" s="76"/>
      <c r="AE54" s="63"/>
      <c r="AF54" s="63"/>
      <c r="AG54" s="63"/>
      <c r="AH54" s="63"/>
      <c r="AI54" s="63">
        <v>3.9</v>
      </c>
      <c r="AJ54" s="44">
        <v>0.67</v>
      </c>
      <c r="AK54" s="7"/>
      <c r="AL54" s="66">
        <f t="shared" si="2"/>
        <v>7.8</v>
      </c>
      <c r="AM54" s="7"/>
      <c r="AN54" s="7"/>
      <c r="AO54" s="66">
        <f t="shared" si="3"/>
        <v>9.14</v>
      </c>
      <c r="AP54" s="69">
        <v>220200013964</v>
      </c>
    </row>
    <row r="55" spans="1:42" s="1" customFormat="1" ht="16.25" customHeight="1">
      <c r="A55" s="38">
        <v>35</v>
      </c>
      <c r="B55" s="89" t="s">
        <v>34</v>
      </c>
      <c r="C55" s="89"/>
      <c r="D55" s="89"/>
      <c r="E55" s="89"/>
      <c r="F55" s="89"/>
      <c r="G55" s="89"/>
      <c r="H55" s="89"/>
      <c r="I55" s="89"/>
      <c r="J55" s="7"/>
      <c r="K55" s="7"/>
      <c r="L55" s="7"/>
      <c r="M55" s="7"/>
      <c r="N55" s="117"/>
      <c r="O55" s="80">
        <v>2</v>
      </c>
      <c r="P55" s="80"/>
      <c r="Q55" s="90"/>
      <c r="R55" s="90"/>
      <c r="S55" s="7"/>
      <c r="T55" s="7"/>
      <c r="U55" s="7"/>
      <c r="V55" s="7"/>
      <c r="W55" s="77" t="s">
        <v>49</v>
      </c>
      <c r="X55" s="78"/>
      <c r="Y55" s="78"/>
      <c r="Z55" s="78"/>
      <c r="AA55" s="79"/>
      <c r="AB55" s="76" t="s">
        <v>68</v>
      </c>
      <c r="AC55" s="76"/>
      <c r="AD55" s="76"/>
      <c r="AE55" s="63"/>
      <c r="AF55" s="63"/>
      <c r="AG55" s="63"/>
      <c r="AH55" s="63"/>
      <c r="AI55" s="63">
        <v>3.9</v>
      </c>
      <c r="AJ55" s="44">
        <v>0.67</v>
      </c>
      <c r="AK55" s="7"/>
      <c r="AL55" s="66">
        <f t="shared" si="2"/>
        <v>7.8</v>
      </c>
      <c r="AM55" s="7"/>
      <c r="AN55" s="7"/>
      <c r="AO55" s="66">
        <f t="shared" si="3"/>
        <v>9.14</v>
      </c>
      <c r="AP55" s="69">
        <v>220200013966</v>
      </c>
    </row>
    <row r="56" spans="1:42" s="1" customFormat="1" ht="16.25" customHeight="1">
      <c r="A56" s="38">
        <v>36</v>
      </c>
      <c r="B56" s="89" t="s">
        <v>39</v>
      </c>
      <c r="C56" s="89"/>
      <c r="D56" s="89"/>
      <c r="E56" s="89"/>
      <c r="F56" s="89"/>
      <c r="G56" s="89"/>
      <c r="H56" s="89"/>
      <c r="I56" s="89"/>
      <c r="J56" s="7"/>
      <c r="K56" s="7"/>
      <c r="L56" s="7"/>
      <c r="M56" s="7"/>
      <c r="N56" s="117"/>
      <c r="O56" s="80">
        <v>2</v>
      </c>
      <c r="P56" s="80"/>
      <c r="Q56" s="90"/>
      <c r="R56" s="90"/>
      <c r="S56" s="7"/>
      <c r="T56" s="7"/>
      <c r="U56" s="7"/>
      <c r="V56" s="7"/>
      <c r="W56" s="77">
        <v>8482104090</v>
      </c>
      <c r="X56" s="78"/>
      <c r="Y56" s="78"/>
      <c r="Z56" s="78"/>
      <c r="AA56" s="79"/>
      <c r="AB56" s="76" t="s">
        <v>68</v>
      </c>
      <c r="AC56" s="76"/>
      <c r="AD56" s="76"/>
      <c r="AE56" s="63"/>
      <c r="AF56" s="63"/>
      <c r="AG56" s="63"/>
      <c r="AH56" s="63"/>
      <c r="AI56" s="63">
        <v>3.9</v>
      </c>
      <c r="AJ56" s="44">
        <v>0.67</v>
      </c>
      <c r="AK56" s="7"/>
      <c r="AL56" s="66">
        <f t="shared" si="2"/>
        <v>7.8</v>
      </c>
      <c r="AM56" s="7"/>
      <c r="AN56" s="7"/>
      <c r="AO56" s="66">
        <f t="shared" si="3"/>
        <v>9.14</v>
      </c>
      <c r="AP56" s="69">
        <v>220200013965</v>
      </c>
    </row>
    <row r="57" spans="1:42" s="1" customFormat="1" ht="16.25" customHeight="1">
      <c r="A57" s="38">
        <v>37</v>
      </c>
      <c r="B57" s="89" t="s">
        <v>34</v>
      </c>
      <c r="C57" s="89"/>
      <c r="D57" s="89"/>
      <c r="E57" s="89"/>
      <c r="F57" s="89"/>
      <c r="G57" s="89"/>
      <c r="H57" s="89"/>
      <c r="I57" s="89"/>
      <c r="J57" s="7"/>
      <c r="K57" s="7"/>
      <c r="L57" s="7"/>
      <c r="M57" s="7"/>
      <c r="N57" s="117"/>
      <c r="O57" s="80">
        <v>2</v>
      </c>
      <c r="P57" s="80"/>
      <c r="Q57" s="90"/>
      <c r="R57" s="90"/>
      <c r="S57" s="7"/>
      <c r="T57" s="7"/>
      <c r="U57" s="7"/>
      <c r="V57" s="7"/>
      <c r="W57" s="77" t="s">
        <v>49</v>
      </c>
      <c r="X57" s="78"/>
      <c r="Y57" s="78"/>
      <c r="Z57" s="78"/>
      <c r="AA57" s="79"/>
      <c r="AB57" s="76" t="s">
        <v>68</v>
      </c>
      <c r="AC57" s="76"/>
      <c r="AD57" s="76"/>
      <c r="AE57" s="63"/>
      <c r="AF57" s="63"/>
      <c r="AG57" s="63"/>
      <c r="AH57" s="63"/>
      <c r="AI57" s="63">
        <v>3.9</v>
      </c>
      <c r="AJ57" s="44">
        <v>0.67</v>
      </c>
      <c r="AK57" s="7"/>
      <c r="AL57" s="66">
        <f t="shared" si="2"/>
        <v>7.8</v>
      </c>
      <c r="AM57" s="7"/>
      <c r="AN57" s="7"/>
      <c r="AO57" s="66">
        <f t="shared" si="3"/>
        <v>9.14</v>
      </c>
      <c r="AP57" s="69">
        <v>220200013974</v>
      </c>
    </row>
    <row r="58" spans="1:42" s="1" customFormat="1" ht="16.25" customHeight="1">
      <c r="A58" s="38">
        <v>38</v>
      </c>
      <c r="B58" s="89" t="s">
        <v>34</v>
      </c>
      <c r="C58" s="89"/>
      <c r="D58" s="89"/>
      <c r="E58" s="89"/>
      <c r="F58" s="89"/>
      <c r="G58" s="89"/>
      <c r="H58" s="89"/>
      <c r="I58" s="89"/>
      <c r="J58" s="7"/>
      <c r="K58" s="7"/>
      <c r="L58" s="7"/>
      <c r="M58" s="7"/>
      <c r="N58" s="117"/>
      <c r="O58" s="80">
        <v>2</v>
      </c>
      <c r="P58" s="80"/>
      <c r="Q58" s="90"/>
      <c r="R58" s="90"/>
      <c r="S58" s="7"/>
      <c r="T58" s="7"/>
      <c r="U58" s="7"/>
      <c r="V58" s="7"/>
      <c r="W58" s="77" t="s">
        <v>49</v>
      </c>
      <c r="X58" s="78"/>
      <c r="Y58" s="78"/>
      <c r="Z58" s="78"/>
      <c r="AA58" s="79"/>
      <c r="AB58" s="76" t="s">
        <v>68</v>
      </c>
      <c r="AC58" s="76"/>
      <c r="AD58" s="76"/>
      <c r="AE58" s="63"/>
      <c r="AF58" s="63"/>
      <c r="AG58" s="63"/>
      <c r="AH58" s="63"/>
      <c r="AI58" s="63">
        <v>4</v>
      </c>
      <c r="AJ58" s="44">
        <v>0.69</v>
      </c>
      <c r="AK58" s="7"/>
      <c r="AL58" s="66">
        <f t="shared" si="2"/>
        <v>8</v>
      </c>
      <c r="AM58" s="7"/>
      <c r="AN58" s="7"/>
      <c r="AO58" s="66">
        <f t="shared" si="3"/>
        <v>9.379999999999999</v>
      </c>
      <c r="AP58" s="69">
        <v>220200013969</v>
      </c>
    </row>
    <row r="59" spans="1:42" s="1" customFormat="1" ht="16.25" customHeight="1">
      <c r="A59" s="38">
        <v>39</v>
      </c>
      <c r="B59" s="89" t="s">
        <v>34</v>
      </c>
      <c r="C59" s="89"/>
      <c r="D59" s="89"/>
      <c r="E59" s="89"/>
      <c r="F59" s="89"/>
      <c r="G59" s="89"/>
      <c r="H59" s="89"/>
      <c r="I59" s="89"/>
      <c r="J59" s="7"/>
      <c r="K59" s="7"/>
      <c r="L59" s="7"/>
      <c r="M59" s="7"/>
      <c r="N59" s="117"/>
      <c r="O59" s="80">
        <v>2</v>
      </c>
      <c r="P59" s="80"/>
      <c r="Q59" s="90"/>
      <c r="R59" s="90"/>
      <c r="S59" s="7"/>
      <c r="T59" s="7"/>
      <c r="U59" s="7"/>
      <c r="V59" s="7"/>
      <c r="W59" s="77" t="s">
        <v>49</v>
      </c>
      <c r="X59" s="78"/>
      <c r="Y59" s="78"/>
      <c r="Z59" s="78"/>
      <c r="AA59" s="79"/>
      <c r="AB59" s="76" t="s">
        <v>66</v>
      </c>
      <c r="AC59" s="76"/>
      <c r="AD59" s="76"/>
      <c r="AE59" s="63"/>
      <c r="AF59" s="63"/>
      <c r="AG59" s="63"/>
      <c r="AH59" s="63"/>
      <c r="AI59" s="63">
        <v>4</v>
      </c>
      <c r="AJ59" s="44">
        <v>0.69</v>
      </c>
      <c r="AK59" s="7"/>
      <c r="AL59" s="66">
        <f t="shared" si="2"/>
        <v>8</v>
      </c>
      <c r="AM59" s="7"/>
      <c r="AN59" s="7"/>
      <c r="AO59" s="66">
        <f t="shared" si="3"/>
        <v>9.379999999999999</v>
      </c>
      <c r="AP59" s="69">
        <v>220200013975</v>
      </c>
    </row>
    <row r="60" spans="1:42" s="1" customFormat="1" ht="16.25" customHeight="1">
      <c r="A60" s="38">
        <v>40</v>
      </c>
      <c r="B60" s="89" t="s">
        <v>34</v>
      </c>
      <c r="C60" s="89"/>
      <c r="D60" s="89"/>
      <c r="E60" s="89"/>
      <c r="F60" s="89"/>
      <c r="G60" s="89"/>
      <c r="H60" s="89"/>
      <c r="I60" s="89"/>
      <c r="J60" s="7"/>
      <c r="K60" s="7"/>
      <c r="L60" s="7"/>
      <c r="M60" s="7"/>
      <c r="N60" s="117"/>
      <c r="O60" s="80">
        <v>2</v>
      </c>
      <c r="P60" s="80"/>
      <c r="Q60" s="90"/>
      <c r="R60" s="90"/>
      <c r="S60" s="7"/>
      <c r="T60" s="7"/>
      <c r="U60" s="7"/>
      <c r="V60" s="7"/>
      <c r="W60" s="77" t="s">
        <v>49</v>
      </c>
      <c r="X60" s="78"/>
      <c r="Y60" s="78"/>
      <c r="Z60" s="78"/>
      <c r="AA60" s="79"/>
      <c r="AB60" s="76" t="s">
        <v>59</v>
      </c>
      <c r="AC60" s="76"/>
      <c r="AD60" s="76"/>
      <c r="AE60" s="63"/>
      <c r="AF60" s="63"/>
      <c r="AG60" s="63"/>
      <c r="AH60" s="63"/>
      <c r="AI60" s="63">
        <v>1.1000000000000001</v>
      </c>
      <c r="AJ60" s="44">
        <v>0.19</v>
      </c>
      <c r="AK60" s="7"/>
      <c r="AL60" s="66">
        <f t="shared" si="2"/>
        <v>2.2000000000000002</v>
      </c>
      <c r="AM60" s="7"/>
      <c r="AN60" s="7"/>
      <c r="AO60" s="66">
        <f t="shared" si="3"/>
        <v>2.58</v>
      </c>
      <c r="AP60" s="69">
        <v>220200013988</v>
      </c>
    </row>
    <row r="61" spans="1:42" s="1" customFormat="1" ht="16.25" customHeight="1">
      <c r="A61" s="38">
        <v>41</v>
      </c>
      <c r="B61" s="89" t="s">
        <v>41</v>
      </c>
      <c r="C61" s="89"/>
      <c r="D61" s="89"/>
      <c r="E61" s="89"/>
      <c r="F61" s="89"/>
      <c r="G61" s="89"/>
      <c r="H61" s="89"/>
      <c r="I61" s="89"/>
      <c r="J61" s="7"/>
      <c r="K61" s="7"/>
      <c r="L61" s="7"/>
      <c r="M61" s="7"/>
      <c r="N61" s="117"/>
      <c r="O61" s="80">
        <v>1</v>
      </c>
      <c r="P61" s="80"/>
      <c r="Q61" s="90"/>
      <c r="R61" s="90"/>
      <c r="S61" s="7"/>
      <c r="T61" s="7"/>
      <c r="U61" s="7"/>
      <c r="V61" s="7"/>
      <c r="W61" s="77" t="s">
        <v>53</v>
      </c>
      <c r="X61" s="78"/>
      <c r="Y61" s="78"/>
      <c r="Z61" s="78"/>
      <c r="AA61" s="79"/>
      <c r="AB61" s="76" t="s">
        <v>69</v>
      </c>
      <c r="AC61" s="76"/>
      <c r="AD61" s="76"/>
      <c r="AE61" s="63"/>
      <c r="AF61" s="63"/>
      <c r="AG61" s="63"/>
      <c r="AH61" s="63"/>
      <c r="AI61" s="63">
        <v>3.9</v>
      </c>
      <c r="AJ61" s="44">
        <v>0.68</v>
      </c>
      <c r="AK61" s="7"/>
      <c r="AL61" s="66">
        <f t="shared" si="2"/>
        <v>3.9</v>
      </c>
      <c r="AM61" s="7"/>
      <c r="AN61" s="7"/>
      <c r="AO61" s="66">
        <f t="shared" si="3"/>
        <v>4.58</v>
      </c>
      <c r="AP61" s="69">
        <v>220300010265</v>
      </c>
    </row>
    <row r="62" spans="1:42" s="1" customFormat="1" ht="16.25" customHeight="1">
      <c r="A62" s="38">
        <v>42</v>
      </c>
      <c r="B62" s="89" t="s">
        <v>42</v>
      </c>
      <c r="C62" s="89"/>
      <c r="D62" s="89"/>
      <c r="E62" s="89"/>
      <c r="F62" s="89"/>
      <c r="G62" s="89"/>
      <c r="H62" s="89"/>
      <c r="I62" s="89"/>
      <c r="J62" s="7"/>
      <c r="K62" s="7"/>
      <c r="L62" s="7"/>
      <c r="M62" s="7"/>
      <c r="N62" s="117"/>
      <c r="O62" s="80">
        <v>3</v>
      </c>
      <c r="P62" s="80"/>
      <c r="Q62" s="90"/>
      <c r="R62" s="90"/>
      <c r="S62" s="7"/>
      <c r="T62" s="7"/>
      <c r="U62" s="7"/>
      <c r="V62" s="7"/>
      <c r="W62" s="77" t="s">
        <v>54</v>
      </c>
      <c r="X62" s="78"/>
      <c r="Y62" s="78"/>
      <c r="Z62" s="78"/>
      <c r="AA62" s="79"/>
      <c r="AB62" s="132" t="s">
        <v>70</v>
      </c>
      <c r="AC62" s="76"/>
      <c r="AD62" s="76"/>
      <c r="AE62" s="63"/>
      <c r="AF62" s="63"/>
      <c r="AG62" s="63"/>
      <c r="AH62" s="63"/>
      <c r="AI62" s="63">
        <v>6</v>
      </c>
      <c r="AJ62" s="44">
        <v>1.03</v>
      </c>
      <c r="AK62" s="7"/>
      <c r="AL62" s="66">
        <f t="shared" si="2"/>
        <v>18</v>
      </c>
      <c r="AM62" s="7"/>
      <c r="AN62" s="7"/>
      <c r="AO62" s="66">
        <f t="shared" si="3"/>
        <v>21.09</v>
      </c>
      <c r="AP62" s="69">
        <v>220300010264</v>
      </c>
    </row>
    <row r="63" spans="1:42" s="1" customFormat="1" ht="16.25" customHeight="1">
      <c r="A63" s="38">
        <v>43</v>
      </c>
      <c r="B63" s="89" t="s">
        <v>42</v>
      </c>
      <c r="C63" s="89"/>
      <c r="D63" s="89"/>
      <c r="E63" s="89"/>
      <c r="F63" s="89"/>
      <c r="G63" s="89"/>
      <c r="H63" s="89"/>
      <c r="I63" s="89"/>
      <c r="J63" s="7"/>
      <c r="K63" s="7"/>
      <c r="L63" s="7"/>
      <c r="M63" s="7"/>
      <c r="N63" s="117"/>
      <c r="O63" s="80">
        <v>3</v>
      </c>
      <c r="P63" s="80"/>
      <c r="Q63" s="90"/>
      <c r="R63" s="90"/>
      <c r="S63" s="7"/>
      <c r="T63" s="7"/>
      <c r="U63" s="7"/>
      <c r="V63" s="7"/>
      <c r="W63" s="77" t="s">
        <v>54</v>
      </c>
      <c r="X63" s="78"/>
      <c r="Y63" s="78"/>
      <c r="Z63" s="78"/>
      <c r="AA63" s="79"/>
      <c r="AB63" s="76" t="s">
        <v>71</v>
      </c>
      <c r="AC63" s="76"/>
      <c r="AD63" s="76"/>
      <c r="AE63" s="63"/>
      <c r="AF63" s="63"/>
      <c r="AG63" s="63"/>
      <c r="AH63" s="63"/>
      <c r="AI63" s="63">
        <v>5.5</v>
      </c>
      <c r="AJ63" s="44">
        <v>0.95</v>
      </c>
      <c r="AK63" s="7"/>
      <c r="AL63" s="66">
        <f t="shared" si="2"/>
        <v>16.5</v>
      </c>
      <c r="AM63" s="7"/>
      <c r="AN63" s="7"/>
      <c r="AO63" s="66">
        <f t="shared" si="3"/>
        <v>19.350000000000001</v>
      </c>
      <c r="AP63" s="69">
        <v>220300010268</v>
      </c>
    </row>
    <row r="64" spans="1:42" s="1" customFormat="1" ht="16.25" customHeight="1">
      <c r="A64" s="38">
        <v>44</v>
      </c>
      <c r="B64" s="89" t="s">
        <v>43</v>
      </c>
      <c r="C64" s="89"/>
      <c r="D64" s="89"/>
      <c r="E64" s="89"/>
      <c r="F64" s="89"/>
      <c r="G64" s="89"/>
      <c r="H64" s="89"/>
      <c r="I64" s="89"/>
      <c r="J64" s="7"/>
      <c r="K64" s="7"/>
      <c r="L64" s="7"/>
      <c r="M64" s="7"/>
      <c r="N64" s="117"/>
      <c r="O64" s="80">
        <v>2</v>
      </c>
      <c r="P64" s="80"/>
      <c r="Q64" s="90"/>
      <c r="R64" s="90"/>
      <c r="S64" s="7"/>
      <c r="T64" s="7"/>
      <c r="U64" s="7"/>
      <c r="V64" s="7"/>
      <c r="W64" s="77" t="s">
        <v>55</v>
      </c>
      <c r="X64" s="78"/>
      <c r="Y64" s="78"/>
      <c r="Z64" s="78"/>
      <c r="AA64" s="79"/>
      <c r="AB64" s="76" t="s">
        <v>72</v>
      </c>
      <c r="AC64" s="76"/>
      <c r="AD64" s="76"/>
      <c r="AE64" s="63"/>
      <c r="AF64" s="63"/>
      <c r="AG64" s="63"/>
      <c r="AH64" s="63"/>
      <c r="AI64" s="63">
        <v>7</v>
      </c>
      <c r="AJ64" s="44">
        <v>1.31</v>
      </c>
      <c r="AK64" s="7"/>
      <c r="AL64" s="66">
        <f t="shared" si="2"/>
        <v>14</v>
      </c>
      <c r="AM64" s="7"/>
      <c r="AN64" s="7"/>
      <c r="AO64" s="66">
        <f t="shared" si="3"/>
        <v>16.62</v>
      </c>
      <c r="AP64" s="69">
        <v>220300010266</v>
      </c>
    </row>
    <row r="65" spans="1:42" s="1" customFormat="1" ht="16.25" customHeight="1">
      <c r="A65" s="38">
        <v>45</v>
      </c>
      <c r="B65" s="89" t="s">
        <v>44</v>
      </c>
      <c r="C65" s="89"/>
      <c r="D65" s="89"/>
      <c r="E65" s="89"/>
      <c r="F65" s="89"/>
      <c r="G65" s="89"/>
      <c r="H65" s="89"/>
      <c r="I65" s="89"/>
      <c r="J65" s="7"/>
      <c r="K65" s="7"/>
      <c r="L65" s="7"/>
      <c r="M65" s="7"/>
      <c r="N65" s="118"/>
      <c r="O65" s="80">
        <v>4</v>
      </c>
      <c r="P65" s="80"/>
      <c r="Q65" s="90"/>
      <c r="R65" s="90"/>
      <c r="S65" s="7"/>
      <c r="T65" s="7"/>
      <c r="U65" s="7"/>
      <c r="V65" s="7"/>
      <c r="W65" s="77" t="s">
        <v>56</v>
      </c>
      <c r="X65" s="78"/>
      <c r="Y65" s="78"/>
      <c r="Z65" s="78"/>
      <c r="AA65" s="79"/>
      <c r="AB65" s="76" t="s">
        <v>73</v>
      </c>
      <c r="AC65" s="76"/>
      <c r="AD65" s="76"/>
      <c r="AE65" s="63"/>
      <c r="AF65" s="63"/>
      <c r="AG65" s="63"/>
      <c r="AH65" s="63"/>
      <c r="AI65" s="63">
        <v>6.5</v>
      </c>
      <c r="AJ65" s="44">
        <v>1.22</v>
      </c>
      <c r="AK65" s="7"/>
      <c r="AL65" s="66">
        <f t="shared" si="2"/>
        <v>26</v>
      </c>
      <c r="AM65" s="7"/>
      <c r="AN65" s="7"/>
      <c r="AO65" s="66">
        <f t="shared" si="3"/>
        <v>30.88</v>
      </c>
      <c r="AP65" s="69">
        <v>220300010267</v>
      </c>
    </row>
    <row r="66" spans="1:42" s="1" customFormat="1" ht="15.65" customHeight="1">
      <c r="A66" s="38">
        <v>1</v>
      </c>
      <c r="B66" s="90" t="s">
        <v>45</v>
      </c>
      <c r="C66" s="90"/>
      <c r="D66" s="90"/>
      <c r="E66" s="90"/>
      <c r="F66" s="90"/>
      <c r="G66" s="90"/>
      <c r="H66" s="90"/>
      <c r="I66" s="90"/>
      <c r="J66" s="7"/>
      <c r="K66" s="7"/>
      <c r="L66" s="7"/>
      <c r="M66" s="7"/>
      <c r="N66" s="90">
        <v>1</v>
      </c>
      <c r="O66" s="90">
        <v>1</v>
      </c>
      <c r="P66" s="90"/>
      <c r="Q66" s="90">
        <v>3</v>
      </c>
      <c r="R66" s="90"/>
      <c r="S66" s="7"/>
      <c r="T66" s="7"/>
      <c r="U66" s="7"/>
      <c r="V66" s="7"/>
      <c r="W66" s="77" t="s">
        <v>48</v>
      </c>
      <c r="X66" s="78"/>
      <c r="Y66" s="78"/>
      <c r="Z66" s="78"/>
      <c r="AA66" s="79"/>
      <c r="AB66" s="76" t="s">
        <v>74</v>
      </c>
      <c r="AC66" s="76"/>
      <c r="AD66" s="76"/>
      <c r="AE66" s="63"/>
      <c r="AF66" s="63"/>
      <c r="AG66" s="63"/>
      <c r="AH66" s="63"/>
      <c r="AI66" s="63">
        <v>9.5</v>
      </c>
      <c r="AJ66" s="63">
        <v>2</v>
      </c>
      <c r="AK66" s="7"/>
      <c r="AL66" s="66">
        <f t="shared" si="2"/>
        <v>9.5</v>
      </c>
      <c r="AM66" s="7"/>
      <c r="AN66" s="7"/>
      <c r="AO66" s="66">
        <f t="shared" si="3"/>
        <v>11.5</v>
      </c>
      <c r="AP66" s="69">
        <v>220200013972</v>
      </c>
    </row>
    <row r="67" spans="1:42" s="1" customFormat="1" ht="15">
      <c r="A67" s="38">
        <v>2</v>
      </c>
      <c r="B67" s="90" t="s">
        <v>45</v>
      </c>
      <c r="C67" s="90"/>
      <c r="D67" s="90"/>
      <c r="E67" s="90"/>
      <c r="F67" s="90"/>
      <c r="G67" s="90"/>
      <c r="H67" s="90"/>
      <c r="I67" s="90"/>
      <c r="J67" s="7"/>
      <c r="K67" s="7"/>
      <c r="L67" s="7"/>
      <c r="M67" s="7"/>
      <c r="N67" s="90"/>
      <c r="O67" s="90">
        <v>1</v>
      </c>
      <c r="P67" s="90"/>
      <c r="Q67" s="90"/>
      <c r="R67" s="90"/>
      <c r="S67" s="7"/>
      <c r="T67" s="7"/>
      <c r="U67" s="7"/>
      <c r="V67" s="7"/>
      <c r="W67" s="77" t="s">
        <v>48</v>
      </c>
      <c r="X67" s="78"/>
      <c r="Y67" s="78"/>
      <c r="Z67" s="78"/>
      <c r="AA67" s="79"/>
      <c r="AB67" s="76" t="s">
        <v>75</v>
      </c>
      <c r="AC67" s="76"/>
      <c r="AD67" s="76"/>
      <c r="AE67" s="63"/>
      <c r="AF67" s="63"/>
      <c r="AG67" s="63"/>
      <c r="AH67" s="63"/>
      <c r="AI67" s="63">
        <v>11.4</v>
      </c>
      <c r="AJ67" s="63">
        <v>2.4</v>
      </c>
      <c r="AK67" s="7"/>
      <c r="AL67" s="66">
        <f t="shared" si="2"/>
        <v>11.4</v>
      </c>
      <c r="AM67" s="7"/>
      <c r="AN67" s="7"/>
      <c r="AO67" s="66">
        <f t="shared" si="3"/>
        <v>13.8</v>
      </c>
      <c r="AP67" s="69">
        <v>220200013973</v>
      </c>
    </row>
    <row r="68" spans="1:42" s="1" customFormat="1" ht="15">
      <c r="A68" s="38">
        <v>3</v>
      </c>
      <c r="B68" s="90" t="s">
        <v>45</v>
      </c>
      <c r="C68" s="90"/>
      <c r="D68" s="90"/>
      <c r="E68" s="90"/>
      <c r="F68" s="90"/>
      <c r="G68" s="90"/>
      <c r="H68" s="90"/>
      <c r="I68" s="90"/>
      <c r="J68" s="7"/>
      <c r="K68" s="7"/>
      <c r="L68" s="7"/>
      <c r="M68" s="7"/>
      <c r="N68" s="90"/>
      <c r="O68" s="90">
        <v>1</v>
      </c>
      <c r="P68" s="90"/>
      <c r="Q68" s="90"/>
      <c r="R68" s="90"/>
      <c r="S68" s="7"/>
      <c r="T68" s="7"/>
      <c r="U68" s="7"/>
      <c r="V68" s="7"/>
      <c r="W68" s="77" t="s">
        <v>48</v>
      </c>
      <c r="X68" s="78"/>
      <c r="Y68" s="78"/>
      <c r="Z68" s="78"/>
      <c r="AA68" s="79"/>
      <c r="AB68" s="76" t="s">
        <v>76</v>
      </c>
      <c r="AC68" s="76"/>
      <c r="AD68" s="76"/>
      <c r="AE68" s="63"/>
      <c r="AF68" s="63"/>
      <c r="AG68" s="63"/>
      <c r="AH68" s="63"/>
      <c r="AI68" s="63">
        <v>17.100000000000001</v>
      </c>
      <c r="AJ68" s="63">
        <v>3.6</v>
      </c>
      <c r="AK68" s="7"/>
      <c r="AL68" s="66">
        <f t="shared" si="2"/>
        <v>17.100000000000001</v>
      </c>
      <c r="AM68" s="7"/>
      <c r="AN68" s="7"/>
      <c r="AO68" s="66">
        <f t="shared" si="3"/>
        <v>20.700000000000003</v>
      </c>
      <c r="AP68" s="69">
        <v>220200013970</v>
      </c>
    </row>
    <row r="69" spans="1:42" s="1" customFormat="1" ht="15">
      <c r="A69" s="54"/>
      <c r="B69" s="145"/>
      <c r="C69" s="146"/>
      <c r="D69" s="146"/>
      <c r="E69" s="146"/>
      <c r="F69" s="146"/>
      <c r="G69" s="146"/>
      <c r="H69" s="146"/>
      <c r="I69" s="146"/>
      <c r="J69" s="27"/>
      <c r="K69" s="27"/>
      <c r="L69" s="28"/>
      <c r="M69" s="34"/>
      <c r="N69" s="62"/>
      <c r="O69" s="60"/>
      <c r="P69" s="61"/>
      <c r="Q69" s="58"/>
      <c r="R69" s="59"/>
      <c r="S69" s="34"/>
      <c r="T69" s="34"/>
      <c r="U69" s="34"/>
      <c r="V69" s="34"/>
      <c r="W69" s="55"/>
      <c r="X69" s="56"/>
      <c r="Y69" s="56"/>
      <c r="Z69" s="56"/>
      <c r="AA69" s="57"/>
      <c r="AB69" s="32"/>
      <c r="AC69" s="27"/>
      <c r="AD69" s="28"/>
      <c r="AE69" s="27"/>
      <c r="AF69" s="28"/>
      <c r="AG69" s="34"/>
      <c r="AH69" s="34"/>
      <c r="AJ69" s="64"/>
      <c r="AK69" s="34"/>
      <c r="AL69" s="64">
        <v>288.2</v>
      </c>
      <c r="AM69" s="34"/>
      <c r="AN69" s="34"/>
      <c r="AO69" s="53">
        <v>339.8</v>
      </c>
      <c r="AP69" s="70"/>
    </row>
    <row r="70" spans="1:42" s="1" customFormat="1" ht="27.65" customHeight="1">
      <c r="A70" s="38"/>
      <c r="B70" s="138" t="s">
        <v>31</v>
      </c>
      <c r="C70" s="110"/>
      <c r="D70" s="110"/>
      <c r="E70" s="110"/>
      <c r="F70" s="110"/>
      <c r="G70" s="110"/>
      <c r="H70" s="110"/>
      <c r="I70" s="110"/>
      <c r="J70" s="27"/>
      <c r="K70" s="27"/>
      <c r="L70" s="28"/>
      <c r="M70" s="7"/>
      <c r="N70" s="75">
        <v>2</v>
      </c>
      <c r="O70" s="128">
        <v>96</v>
      </c>
      <c r="P70" s="129"/>
      <c r="Q70" s="128">
        <v>96</v>
      </c>
      <c r="R70" s="129"/>
      <c r="S70" s="7"/>
      <c r="T70" s="7"/>
      <c r="U70" s="7"/>
      <c r="V70" s="7"/>
      <c r="W70" s="139"/>
      <c r="X70" s="140"/>
      <c r="Y70" s="140"/>
      <c r="Z70" s="140"/>
      <c r="AA70" s="141"/>
      <c r="AB70" s="138">
        <v>0.55000000000000004</v>
      </c>
      <c r="AC70" s="110"/>
      <c r="AD70" s="111"/>
      <c r="AE70" s="30"/>
      <c r="AF70" s="31"/>
      <c r="AG70" s="7"/>
      <c r="AH70" s="7"/>
      <c r="AI70" s="33"/>
      <c r="AJ70" s="33"/>
      <c r="AK70" s="7"/>
      <c r="AL70" s="33"/>
      <c r="AM70" s="7"/>
      <c r="AN70" s="7"/>
      <c r="AO70" s="37"/>
      <c r="AP70" s="71"/>
    </row>
    <row r="71" spans="1:42" s="2" customFormat="1" ht="28.75" customHeight="1" thickBot="1">
      <c r="A71" s="39"/>
      <c r="B71" s="144" t="s">
        <v>29</v>
      </c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40"/>
      <c r="N71" s="40"/>
      <c r="O71" s="142"/>
      <c r="P71" s="143"/>
      <c r="Q71" s="142"/>
      <c r="R71" s="143"/>
      <c r="S71" s="40"/>
      <c r="T71" s="40"/>
      <c r="U71" s="40"/>
      <c r="V71" s="40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41"/>
      <c r="AH71" s="41"/>
      <c r="AI71" s="42"/>
      <c r="AJ71" s="42"/>
      <c r="AK71" s="42"/>
      <c r="AL71" s="42"/>
      <c r="AM71" s="42"/>
      <c r="AN71" s="42"/>
      <c r="AO71" s="43"/>
      <c r="AP71" s="72"/>
    </row>
    <row r="72" spans="1:42" ht="29.4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20.149999999999999" customHeight="1">
      <c r="A73" s="10" t="s">
        <v>14</v>
      </c>
      <c r="B73" s="11"/>
      <c r="C73" s="12"/>
      <c r="D73" s="12"/>
      <c r="E73" s="12"/>
      <c r="F73" s="12"/>
      <c r="G73" s="12"/>
      <c r="H73" s="12"/>
      <c r="I73" s="12"/>
      <c r="J73" s="9"/>
      <c r="K73" s="9"/>
      <c r="L73" s="9"/>
      <c r="M73" s="9"/>
      <c r="N73" s="9"/>
      <c r="O73" s="9"/>
      <c r="P73" s="8" t="s">
        <v>15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20.149999999999999" customHeight="1">
      <c r="A74" s="10" t="s">
        <v>16</v>
      </c>
      <c r="B74" s="11"/>
      <c r="C74" s="12"/>
      <c r="D74" s="12"/>
      <c r="E74" s="12"/>
      <c r="F74" s="12"/>
      <c r="G74" s="12"/>
      <c r="H74" s="12"/>
      <c r="I74" s="12"/>
      <c r="J74" s="9"/>
      <c r="K74" s="9"/>
      <c r="L74" s="9"/>
      <c r="M74" s="9"/>
      <c r="N74" s="9"/>
      <c r="O74" s="9"/>
      <c r="P74" s="8" t="s">
        <v>23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20.149999999999999" customHeight="1">
      <c r="A75" s="10" t="s">
        <v>17</v>
      </c>
      <c r="B75" s="11"/>
      <c r="C75" s="12"/>
      <c r="D75" s="12"/>
      <c r="E75" s="12"/>
      <c r="F75" s="12"/>
      <c r="G75" s="12"/>
      <c r="H75" s="12"/>
      <c r="I75" s="12"/>
      <c r="J75" s="9"/>
      <c r="K75" s="9"/>
      <c r="L75" s="9"/>
      <c r="M75" s="9"/>
      <c r="N75" s="9"/>
      <c r="O75" s="9"/>
      <c r="P75" s="9" t="s">
        <v>24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ht="68.150000000000006" customHeight="1">
      <c r="A76" s="11"/>
      <c r="B76" s="11"/>
      <c r="C76" s="12"/>
      <c r="D76" s="12"/>
      <c r="E76" s="12"/>
      <c r="F76" s="12"/>
      <c r="G76" s="12"/>
      <c r="H76" s="12"/>
      <c r="I76" s="12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ht="23.15" customHeight="1">
      <c r="A77" s="11"/>
      <c r="B77" s="11"/>
      <c r="C77" s="12"/>
      <c r="D77" s="12"/>
      <c r="E77" s="12"/>
      <c r="F77" s="12"/>
      <c r="G77" s="12"/>
      <c r="H77" s="12"/>
      <c r="I77" s="12"/>
      <c r="J77" s="9"/>
      <c r="K77" s="9"/>
      <c r="L77" s="9"/>
      <c r="M77" s="9"/>
      <c r="N77" s="9"/>
      <c r="O77" s="9"/>
      <c r="P77" s="9"/>
      <c r="Q77" s="131" t="s">
        <v>22</v>
      </c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45"/>
    </row>
    <row r="78" spans="1:42" ht="20.149999999999999" customHeight="1">
      <c r="A78" s="11"/>
      <c r="B78" s="11"/>
      <c r="C78" s="12"/>
      <c r="D78" s="12"/>
      <c r="E78" s="12"/>
      <c r="F78" s="12"/>
      <c r="G78" s="12"/>
      <c r="H78" s="12"/>
      <c r="I78" s="12"/>
      <c r="J78" s="9"/>
      <c r="K78" s="9"/>
      <c r="L78" s="9"/>
      <c r="M78" s="9"/>
      <c r="N78" s="9"/>
      <c r="O78" s="9"/>
      <c r="P78" s="9"/>
      <c r="Q78" s="16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ht="28.5" customHeight="1">
      <c r="A79" s="11"/>
      <c r="B79" s="11"/>
      <c r="C79" s="12"/>
      <c r="D79" s="12"/>
      <c r="E79" s="12"/>
      <c r="F79" s="12"/>
      <c r="G79" s="12"/>
      <c r="H79" s="12"/>
      <c r="I79" s="12"/>
      <c r="J79" s="9"/>
      <c r="K79" s="9"/>
      <c r="L79" s="9"/>
      <c r="M79" s="9"/>
      <c r="N79" s="9"/>
      <c r="O79" s="9"/>
      <c r="P79" s="9"/>
      <c r="Q79" s="17"/>
      <c r="R79" s="18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ht="20.149999999999999" customHeight="1">
      <c r="A80" s="11"/>
      <c r="B80" s="11"/>
      <c r="C80" s="12"/>
      <c r="D80" s="12"/>
      <c r="E80" s="12"/>
      <c r="F80" s="12"/>
      <c r="G80" s="12"/>
      <c r="H80" s="12"/>
      <c r="I80" s="12"/>
      <c r="J80" s="9"/>
      <c r="K80" s="9"/>
      <c r="L80" s="9"/>
      <c r="M80" s="9"/>
      <c r="N80" s="9"/>
      <c r="O80" s="9"/>
      <c r="P80" s="9"/>
      <c r="Q80" s="131" t="s">
        <v>18</v>
      </c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45"/>
    </row>
    <row r="81" spans="1:42" ht="94.5" customHeight="1">
      <c r="A81" s="11"/>
      <c r="B81" s="11"/>
      <c r="C81" s="12"/>
      <c r="D81" s="12"/>
      <c r="E81" s="12"/>
      <c r="F81" s="12"/>
      <c r="G81" s="12"/>
      <c r="H81" s="12"/>
      <c r="I81" s="12"/>
      <c r="J81" s="9"/>
      <c r="K81" s="9"/>
      <c r="L81" s="9"/>
      <c r="M81" s="9"/>
      <c r="N81" s="9"/>
      <c r="O81" s="9"/>
      <c r="P81" s="9"/>
      <c r="Q81" s="16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spans="1:42" ht="40.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46"/>
    </row>
    <row r="83" spans="1:42" ht="20.149999999999999" customHeight="1">
      <c r="A83" s="11"/>
      <c r="B83" s="11"/>
      <c r="C83" s="12"/>
      <c r="D83" s="12"/>
      <c r="E83" s="12"/>
      <c r="F83" s="12"/>
      <c r="G83" s="12"/>
      <c r="H83" s="12"/>
      <c r="I83" s="12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18"/>
      <c r="V83" s="9"/>
      <c r="W83" s="9"/>
      <c r="X83" s="9"/>
      <c r="Y83" s="9"/>
      <c r="Z83" s="9"/>
      <c r="AB83" s="24"/>
      <c r="AC83" s="24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spans="1:42" ht="20.149999999999999" customHeight="1">
      <c r="A84" s="11"/>
      <c r="B84" s="11"/>
      <c r="C84" s="12"/>
      <c r="D84" s="12"/>
      <c r="E84" s="12"/>
      <c r="F84" s="12"/>
      <c r="G84" s="12"/>
      <c r="H84" s="12"/>
      <c r="I84" s="12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18"/>
      <c r="V84" s="9"/>
      <c r="W84" s="9"/>
      <c r="X84" s="9"/>
      <c r="Y84" s="9"/>
      <c r="Z84" s="9"/>
      <c r="AB84" s="24"/>
      <c r="AC84" s="24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spans="1:42" ht="20.149999999999999" customHeight="1">
      <c r="A85" s="13"/>
      <c r="B85" s="13"/>
      <c r="C85" s="12"/>
      <c r="D85" s="12"/>
      <c r="E85" s="12"/>
      <c r="F85" s="12"/>
      <c r="G85" s="12"/>
      <c r="H85" s="12"/>
      <c r="I85" s="12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19" t="s">
        <v>18</v>
      </c>
      <c r="V85" s="9"/>
      <c r="W85" s="9"/>
      <c r="X85" s="9"/>
      <c r="Y85" s="9"/>
      <c r="Z85" s="9"/>
      <c r="AB85" s="25"/>
      <c r="AC85" s="25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spans="1:42" ht="1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</row>
    <row r="87" spans="1:42" ht="1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</row>
    <row r="88" spans="1:42" ht="1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</row>
    <row r="89" spans="1:42" ht="1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</row>
    <row r="90" spans="1:42" ht="1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</row>
  </sheetData>
  <mergeCells count="239">
    <mergeCell ref="W51:AA51"/>
    <mergeCell ref="W52:AA52"/>
    <mergeCell ref="W39:AA39"/>
    <mergeCell ref="W41:AA41"/>
    <mergeCell ref="W42:AA42"/>
    <mergeCell ref="AB25:AD25"/>
    <mergeCell ref="AB26:AD26"/>
    <mergeCell ref="AB27:AD27"/>
    <mergeCell ref="AB28:AD28"/>
    <mergeCell ref="AB29:AD29"/>
    <mergeCell ref="AB30:AD30"/>
    <mergeCell ref="AB31:AD31"/>
    <mergeCell ref="AB32:AD32"/>
    <mergeCell ref="AB33:AD33"/>
    <mergeCell ref="W32:AA32"/>
    <mergeCell ref="W33:AA33"/>
    <mergeCell ref="AB41:AD41"/>
    <mergeCell ref="W43:AA43"/>
    <mergeCell ref="W44:AA44"/>
    <mergeCell ref="W45:AA45"/>
    <mergeCell ref="W46:AA46"/>
    <mergeCell ref="W47:AA47"/>
    <mergeCell ref="W48:AA48"/>
    <mergeCell ref="W49:AA49"/>
    <mergeCell ref="W50:AA50"/>
    <mergeCell ref="O55:P55"/>
    <mergeCell ref="O56:P56"/>
    <mergeCell ref="O57:P57"/>
    <mergeCell ref="B67:I67"/>
    <mergeCell ref="B60:I60"/>
    <mergeCell ref="O60:P60"/>
    <mergeCell ref="AB47:AD47"/>
    <mergeCell ref="AB48:AD48"/>
    <mergeCell ref="AB49:AD49"/>
    <mergeCell ref="AB50:AD50"/>
    <mergeCell ref="O58:P58"/>
    <mergeCell ref="O59:P59"/>
    <mergeCell ref="W53:AA53"/>
    <mergeCell ref="W54:AA54"/>
    <mergeCell ref="W55:AA55"/>
    <mergeCell ref="W56:AA56"/>
    <mergeCell ref="W57:AA57"/>
    <mergeCell ref="W58:AA58"/>
    <mergeCell ref="W59:AA59"/>
    <mergeCell ref="O48:P48"/>
    <mergeCell ref="O49:P49"/>
    <mergeCell ref="O50:P50"/>
    <mergeCell ref="O51:P51"/>
    <mergeCell ref="O52:P52"/>
    <mergeCell ref="B68:I68"/>
    <mergeCell ref="B69:I69"/>
    <mergeCell ref="N66:N68"/>
    <mergeCell ref="O22:P22"/>
    <mergeCell ref="O25:P25"/>
    <mergeCell ref="O26:P26"/>
    <mergeCell ref="O27:P27"/>
    <mergeCell ref="O28:P28"/>
    <mergeCell ref="O29:P29"/>
    <mergeCell ref="O30:P30"/>
    <mergeCell ref="O31:P31"/>
    <mergeCell ref="B65:I65"/>
    <mergeCell ref="B59:I59"/>
    <mergeCell ref="B61:I61"/>
    <mergeCell ref="B62:I62"/>
    <mergeCell ref="B63:I63"/>
    <mergeCell ref="B64:I64"/>
    <mergeCell ref="B54:I54"/>
    <mergeCell ref="B55:I55"/>
    <mergeCell ref="B56:I56"/>
    <mergeCell ref="B57:I57"/>
    <mergeCell ref="B58:I58"/>
    <mergeCell ref="O47:P47"/>
    <mergeCell ref="O61:P61"/>
    <mergeCell ref="AB63:AD63"/>
    <mergeCell ref="AB64:AD64"/>
    <mergeCell ref="AB65:AD65"/>
    <mergeCell ref="AB66:AD66"/>
    <mergeCell ref="AB67:AD67"/>
    <mergeCell ref="AB68:AD68"/>
    <mergeCell ref="W62:AA62"/>
    <mergeCell ref="W63:AA63"/>
    <mergeCell ref="W64:AA64"/>
    <mergeCell ref="W65:AA65"/>
    <mergeCell ref="W66:AA66"/>
    <mergeCell ref="W67:AA67"/>
    <mergeCell ref="W68:AA68"/>
    <mergeCell ref="O67:P67"/>
    <mergeCell ref="O68:P68"/>
    <mergeCell ref="Q66:R68"/>
    <mergeCell ref="Q21:R65"/>
    <mergeCell ref="W38:AA38"/>
    <mergeCell ref="O46:P46"/>
    <mergeCell ref="O37:P37"/>
    <mergeCell ref="O38:P38"/>
    <mergeCell ref="O39:P39"/>
    <mergeCell ref="O41:P41"/>
    <mergeCell ref="A82:AO82"/>
    <mergeCell ref="AB70:AD70"/>
    <mergeCell ref="B70:I70"/>
    <mergeCell ref="O70:P70"/>
    <mergeCell ref="Q70:R70"/>
    <mergeCell ref="W70:AA70"/>
    <mergeCell ref="O71:P71"/>
    <mergeCell ref="Q71:R71"/>
    <mergeCell ref="B71:L71"/>
    <mergeCell ref="W71:AA71"/>
    <mergeCell ref="AB71:AD71"/>
    <mergeCell ref="AE71:AF71"/>
    <mergeCell ref="B21:I21"/>
    <mergeCell ref="O21:P21"/>
    <mergeCell ref="O66:P66"/>
    <mergeCell ref="O24:P24"/>
    <mergeCell ref="B22:I22"/>
    <mergeCell ref="Q77:AO77"/>
    <mergeCell ref="Q80:AO80"/>
    <mergeCell ref="AB62:AD62"/>
    <mergeCell ref="B25:I25"/>
    <mergeCell ref="B26:I26"/>
    <mergeCell ref="O23:P23"/>
    <mergeCell ref="W24:AA24"/>
    <mergeCell ref="N21:N65"/>
    <mergeCell ref="Z40:AA40"/>
    <mergeCell ref="B40:I40"/>
    <mergeCell ref="W60:AA60"/>
    <mergeCell ref="W61:AA61"/>
    <mergeCell ref="O64:P64"/>
    <mergeCell ref="O65:P65"/>
    <mergeCell ref="O62:P62"/>
    <mergeCell ref="O63:P63"/>
    <mergeCell ref="O53:P53"/>
    <mergeCell ref="O54:P54"/>
    <mergeCell ref="B38:I38"/>
    <mergeCell ref="A17:G17"/>
    <mergeCell ref="H17:AA17"/>
    <mergeCell ref="A18:A20"/>
    <mergeCell ref="N18:N20"/>
    <mergeCell ref="B18:L20"/>
    <mergeCell ref="O18:R19"/>
    <mergeCell ref="W18:AA20"/>
    <mergeCell ref="O20:P20"/>
    <mergeCell ref="Q20:R20"/>
    <mergeCell ref="B39:I39"/>
    <mergeCell ref="B41:I41"/>
    <mergeCell ref="B42:I42"/>
    <mergeCell ref="B43:I43"/>
    <mergeCell ref="B53:I53"/>
    <mergeCell ref="B44:I44"/>
    <mergeCell ref="B45:I45"/>
    <mergeCell ref="AI10:AO10"/>
    <mergeCell ref="A13:F13"/>
    <mergeCell ref="AI13:AO13"/>
    <mergeCell ref="AI15:AO15"/>
    <mergeCell ref="AI16:AO16"/>
    <mergeCell ref="H8:AB11"/>
    <mergeCell ref="H13:AB16"/>
    <mergeCell ref="B51:I51"/>
    <mergeCell ref="B52:I52"/>
    <mergeCell ref="B47:I47"/>
    <mergeCell ref="B48:I48"/>
    <mergeCell ref="AI18:AO18"/>
    <mergeCell ref="AI19:AJ19"/>
    <mergeCell ref="AL19:AO19"/>
    <mergeCell ref="AB18:AD20"/>
    <mergeCell ref="AE20:AF20"/>
    <mergeCell ref="W37:AA37"/>
    <mergeCell ref="A2:D2"/>
    <mergeCell ref="E4:AO4"/>
    <mergeCell ref="E5:AO5"/>
    <mergeCell ref="E6:AO6"/>
    <mergeCell ref="A8:F8"/>
    <mergeCell ref="AI8:AO8"/>
    <mergeCell ref="E2:AO3"/>
    <mergeCell ref="B24:I24"/>
    <mergeCell ref="B66:I66"/>
    <mergeCell ref="B23:I23"/>
    <mergeCell ref="B27:I27"/>
    <mergeCell ref="B28:I28"/>
    <mergeCell ref="B29:I29"/>
    <mergeCell ref="B30:I30"/>
    <mergeCell ref="B31:I31"/>
    <mergeCell ref="B32:I32"/>
    <mergeCell ref="B33:I33"/>
    <mergeCell ref="B34:I34"/>
    <mergeCell ref="B35:I35"/>
    <mergeCell ref="B36:I36"/>
    <mergeCell ref="B37:I37"/>
    <mergeCell ref="B46:I46"/>
    <mergeCell ref="B49:I49"/>
    <mergeCell ref="B50:I50"/>
    <mergeCell ref="O42:P42"/>
    <mergeCell ref="O32:P32"/>
    <mergeCell ref="O33:P33"/>
    <mergeCell ref="O34:P34"/>
    <mergeCell ref="O35:P35"/>
    <mergeCell ref="O36:P36"/>
    <mergeCell ref="O43:P43"/>
    <mergeCell ref="O44:P44"/>
    <mergeCell ref="O45:P45"/>
    <mergeCell ref="O40:P40"/>
    <mergeCell ref="W27:AA27"/>
    <mergeCell ref="W28:AA28"/>
    <mergeCell ref="W29:AA29"/>
    <mergeCell ref="W30:AA30"/>
    <mergeCell ref="W31:AA31"/>
    <mergeCell ref="AB34:AD34"/>
    <mergeCell ref="AB35:AD35"/>
    <mergeCell ref="AB36:AD36"/>
    <mergeCell ref="W34:AA34"/>
    <mergeCell ref="W35:AA35"/>
    <mergeCell ref="W36:AA36"/>
    <mergeCell ref="AB24:AD24"/>
    <mergeCell ref="AB21:AD21"/>
    <mergeCell ref="AB22:AD22"/>
    <mergeCell ref="AB23:AD23"/>
    <mergeCell ref="W21:AA21"/>
    <mergeCell ref="W22:AA22"/>
    <mergeCell ref="W23:AA23"/>
    <mergeCell ref="W25:AA25"/>
    <mergeCell ref="W26:AA26"/>
    <mergeCell ref="AB61:AD61"/>
    <mergeCell ref="AB37:AD37"/>
    <mergeCell ref="AB38:AD38"/>
    <mergeCell ref="AB39:AD39"/>
    <mergeCell ref="AB40:AD40"/>
    <mergeCell ref="AB42:AD42"/>
    <mergeCell ref="AB43:AD43"/>
    <mergeCell ref="AB51:AD51"/>
    <mergeCell ref="AB44:AD44"/>
    <mergeCell ref="AB60:AD60"/>
    <mergeCell ref="AB52:AD52"/>
    <mergeCell ref="AB53:AD53"/>
    <mergeCell ref="AB54:AD54"/>
    <mergeCell ref="AB55:AD55"/>
    <mergeCell ref="AB56:AD56"/>
    <mergeCell ref="AB57:AD57"/>
    <mergeCell ref="AB58:AD58"/>
    <mergeCell ref="AB59:AD59"/>
    <mergeCell ref="AB45:AD45"/>
    <mergeCell ref="AB46:AD46"/>
  </mergeCells>
  <phoneticPr fontId="18" type="noConversion"/>
  <pageMargins left="0.7" right="0.7" top="0.75" bottom="0.75" header="0.3" footer="0.3"/>
  <pageSetup paperSize="9" scale="46" pageOrder="overThenDown" orientation="portrait" cellComments="asDisplayed" useFirstPageNumber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Packing List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NGC-CN005</dc:creator>
  <cp:lastModifiedBy>Li peter</cp:lastModifiedBy>
  <cp:lastPrinted>2026-01-08T16:23:12Z</cp:lastPrinted>
  <dcterms:created xsi:type="dcterms:W3CDTF">2022-05-28T05:15:00Z</dcterms:created>
  <dcterms:modified xsi:type="dcterms:W3CDTF">2026-02-10T04:36:03Z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F5B146DC0C0F40869E62BC0FFFAF4917_12</vt:lpwstr>
  </property>
  <property fmtid="{D5CDD505-2E9C-101B-9397-08002B2CF9AE}" pid="3" name="KSOProductBuildVer">
    <vt:lpwstr>2052-11.1.0.14036</vt:lpwstr>
  </property>
</Properties>
</file>